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mc:AlternateContent xmlns:mc="http://schemas.openxmlformats.org/markup-compatibility/2006">
    <mc:Choice Requires="x15">
      <x15ac:absPath xmlns:x15ac="http://schemas.microsoft.com/office/spreadsheetml/2010/11/ac" url="C:\Users\LenovoAngie\Desktop\SEGUIMIENTO SEMANAL\1 - PARQUES - 703\"/>
    </mc:Choice>
  </mc:AlternateContent>
  <xr:revisionPtr revIDLastSave="0" documentId="13_ncr:1_{B30E8737-89B5-4E78-BA19-BE890D6597DC}" xr6:coauthVersionLast="45" xr6:coauthVersionMax="45" xr10:uidLastSave="{00000000-0000-0000-0000-000000000000}"/>
  <bookViews>
    <workbookView xWindow="-110" yWindow="-110" windowWidth="19420" windowHeight="10300" activeTab="4" xr2:uid="{00000000-000D-0000-FFFF-FFFF00000000}"/>
  </bookViews>
  <sheets>
    <sheet name="SEMANA 1" sheetId="13" r:id="rId1"/>
    <sheet name="SEMANA 2" sheetId="8" r:id="rId2"/>
    <sheet name="SEMANA 3" sheetId="10" r:id="rId3"/>
    <sheet name="SEMANA 4" sheetId="9" r:id="rId4"/>
    <sheet name="CONSOLIDADO MES" sheetId="12" r:id="rId5"/>
  </sheets>
  <definedNames>
    <definedName name="_xlnm._FilterDatabase" localSheetId="4" hidden="1">'CONSOLIDADO MES'!$AF$21:$AF$22</definedName>
    <definedName name="_xlnm._FilterDatabase" localSheetId="0" hidden="1">'SEMANA 1'!$AF$21:$AF$22</definedName>
    <definedName name="_xlnm._FilterDatabase" localSheetId="1" hidden="1">'SEMANA 2'!$AF$21:$AF$22</definedName>
    <definedName name="_xlnm._FilterDatabase" localSheetId="2" hidden="1">'SEMANA 3'!$AF$21:$AF$22</definedName>
    <definedName name="_xlnm._FilterDatabase" localSheetId="3" hidden="1">'SEMANA 4'!$AF$21:$AF$22</definedName>
    <definedName name="_xlnm.Print_Area" localSheetId="4">'CONSOLIDADO MES'!$A$1:$V$67</definedName>
    <definedName name="_xlnm.Print_Area" localSheetId="0">'SEMANA 1'!$A$1:$V$67</definedName>
    <definedName name="_xlnm.Print_Area" localSheetId="1">'SEMANA 2'!$A$1:$V$67</definedName>
    <definedName name="_xlnm.Print_Area" localSheetId="2">'SEMANA 3'!$A$1:$V$67</definedName>
    <definedName name="_xlnm.Print_Area" localSheetId="3">'SEMANA 4'!$A$1:$V$67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D54" i="12" l="1"/>
  <c r="AC54" i="12"/>
  <c r="U54" i="12"/>
  <c r="S54" i="12"/>
  <c r="R54" i="12"/>
  <c r="Q54" i="12"/>
  <c r="P54" i="12"/>
  <c r="AD53" i="12"/>
  <c r="AC53" i="12"/>
  <c r="AD52" i="12"/>
  <c r="AC52" i="12"/>
  <c r="S52" i="12"/>
  <c r="R52" i="12"/>
  <c r="Q52" i="12"/>
  <c r="P52" i="12"/>
  <c r="O52" i="12"/>
  <c r="AD51" i="12"/>
  <c r="AC51" i="12"/>
  <c r="S51" i="12"/>
  <c r="R51" i="12"/>
  <c r="Q51" i="12"/>
  <c r="P51" i="12"/>
  <c r="O51" i="12"/>
  <c r="AD50" i="12"/>
  <c r="AC50" i="12"/>
  <c r="S50" i="12"/>
  <c r="AD49" i="12"/>
  <c r="AC49" i="12"/>
  <c r="S49" i="12"/>
  <c r="R49" i="12"/>
  <c r="Q49" i="12"/>
  <c r="P49" i="12"/>
  <c r="O49" i="12"/>
  <c r="AD48" i="12"/>
  <c r="AC48" i="12"/>
  <c r="U48" i="12"/>
  <c r="S48" i="12"/>
  <c r="R48" i="12"/>
  <c r="Q48" i="12"/>
  <c r="P48" i="12"/>
  <c r="O48" i="12"/>
  <c r="AD47" i="12"/>
  <c r="AC47" i="12"/>
  <c r="AD46" i="12"/>
  <c r="AC46" i="12"/>
  <c r="S46" i="12"/>
  <c r="R46" i="12"/>
  <c r="Q46" i="12"/>
  <c r="P46" i="12"/>
  <c r="O46" i="12"/>
  <c r="AD45" i="12"/>
  <c r="AC45" i="12"/>
  <c r="S45" i="12"/>
  <c r="R45" i="12"/>
  <c r="Q45" i="12"/>
  <c r="P45" i="12"/>
  <c r="O45" i="12"/>
  <c r="AD44" i="12"/>
  <c r="AC44" i="12"/>
  <c r="S44" i="12"/>
  <c r="R44" i="12"/>
  <c r="Q44" i="12"/>
  <c r="P44" i="12"/>
  <c r="O44" i="12"/>
  <c r="AD43" i="12"/>
  <c r="AC43" i="12"/>
  <c r="S43" i="12"/>
  <c r="R43" i="12"/>
  <c r="Q43" i="12"/>
  <c r="P43" i="12"/>
  <c r="O43" i="12"/>
  <c r="AD42" i="12"/>
  <c r="AC42" i="12"/>
  <c r="S42" i="12"/>
  <c r="R42" i="12"/>
  <c r="Q42" i="12"/>
  <c r="P42" i="12"/>
  <c r="O42" i="12"/>
  <c r="AD41" i="12"/>
  <c r="AC41" i="12"/>
  <c r="S41" i="12"/>
  <c r="R41" i="12"/>
  <c r="Q41" i="12"/>
  <c r="P41" i="12"/>
  <c r="O41" i="12"/>
  <c r="AD40" i="12"/>
  <c r="AC40" i="12"/>
  <c r="S40" i="12"/>
  <c r="R40" i="12"/>
  <c r="Q40" i="12"/>
  <c r="P40" i="12"/>
  <c r="O40" i="12"/>
  <c r="AD39" i="12"/>
  <c r="AC39" i="12"/>
  <c r="S39" i="12"/>
  <c r="R39" i="12"/>
  <c r="Q39" i="12"/>
  <c r="P39" i="12"/>
  <c r="O39" i="12"/>
  <c r="AD38" i="12"/>
  <c r="AC38" i="12"/>
  <c r="S38" i="12"/>
  <c r="R38" i="12"/>
  <c r="Q38" i="12"/>
  <c r="P38" i="12"/>
  <c r="O38" i="12"/>
  <c r="AD37" i="12"/>
  <c r="AC37" i="12"/>
  <c r="S37" i="12"/>
  <c r="R37" i="12"/>
  <c r="Q37" i="12"/>
  <c r="P37" i="12"/>
  <c r="O37" i="12"/>
  <c r="AD36" i="12"/>
  <c r="AC36" i="12"/>
  <c r="S36" i="12"/>
  <c r="R36" i="12"/>
  <c r="Q36" i="12"/>
  <c r="P36" i="12"/>
  <c r="O36" i="12"/>
  <c r="AD35" i="12"/>
  <c r="AC35" i="12"/>
  <c r="S35" i="12"/>
  <c r="R35" i="12"/>
  <c r="Q35" i="12"/>
  <c r="P35" i="12"/>
  <c r="O35" i="12"/>
  <c r="AD34" i="12"/>
  <c r="AC34" i="12"/>
  <c r="S34" i="12"/>
  <c r="R34" i="12"/>
  <c r="Q34" i="12"/>
  <c r="P34" i="12"/>
  <c r="O34" i="12"/>
  <c r="AD33" i="12"/>
  <c r="AC33" i="12"/>
  <c r="S33" i="12"/>
  <c r="R33" i="12"/>
  <c r="Q33" i="12"/>
  <c r="P33" i="12"/>
  <c r="O33" i="12"/>
  <c r="AD32" i="12"/>
  <c r="AC32" i="12"/>
  <c r="S32" i="12"/>
  <c r="R32" i="12"/>
  <c r="Q32" i="12"/>
  <c r="P32" i="12"/>
  <c r="O32" i="12"/>
  <c r="AD31" i="12"/>
  <c r="AC31" i="12"/>
  <c r="S31" i="12"/>
  <c r="R31" i="12"/>
  <c r="Q31" i="12"/>
  <c r="P31" i="12"/>
  <c r="O31" i="12"/>
  <c r="AD30" i="12"/>
  <c r="AC30" i="12"/>
  <c r="S30" i="12"/>
  <c r="R30" i="12"/>
  <c r="Q30" i="12"/>
  <c r="P30" i="12"/>
  <c r="O30" i="12"/>
  <c r="AD29" i="12"/>
  <c r="AC29" i="12"/>
  <c r="S29" i="12"/>
  <c r="R29" i="12"/>
  <c r="Q29" i="12"/>
  <c r="P29" i="12"/>
  <c r="O29" i="12"/>
  <c r="AC28" i="12"/>
  <c r="Q28" i="12"/>
  <c r="P28" i="12"/>
  <c r="O28" i="12"/>
  <c r="AC27" i="12"/>
  <c r="Q27" i="12"/>
  <c r="P27" i="12"/>
  <c r="O27" i="12"/>
  <c r="AD26" i="12"/>
  <c r="AC26" i="12"/>
  <c r="AD25" i="12"/>
  <c r="AC25" i="12"/>
  <c r="S25" i="12"/>
  <c r="R25" i="12"/>
  <c r="Q25" i="12"/>
  <c r="P25" i="12"/>
  <c r="O25" i="12"/>
  <c r="AC24" i="12"/>
  <c r="R24" i="12"/>
  <c r="Q24" i="12"/>
  <c r="P24" i="12"/>
  <c r="S24" i="12" s="1"/>
  <c r="AD24" i="12" s="1"/>
  <c r="O24" i="12"/>
  <c r="AC23" i="12"/>
  <c r="R23" i="12"/>
  <c r="Q23" i="12"/>
  <c r="O23" i="12"/>
  <c r="AC22" i="12"/>
  <c r="R22" i="12"/>
  <c r="Q22" i="12"/>
  <c r="O22" i="12"/>
  <c r="AC21" i="12"/>
  <c r="Q21" i="12"/>
  <c r="O21" i="12"/>
  <c r="AD54" i="9"/>
  <c r="AC54" i="9"/>
  <c r="U54" i="9"/>
  <c r="T54" i="9"/>
  <c r="AD53" i="9"/>
  <c r="AC53" i="9"/>
  <c r="AD52" i="9"/>
  <c r="AC52" i="9"/>
  <c r="T52" i="9"/>
  <c r="AD51" i="9"/>
  <c r="AC51" i="9"/>
  <c r="T51" i="9"/>
  <c r="AD50" i="9"/>
  <c r="AC50" i="9"/>
  <c r="T50" i="9"/>
  <c r="AD49" i="9"/>
  <c r="AC49" i="9"/>
  <c r="T49" i="9"/>
  <c r="AD48" i="9"/>
  <c r="AC48" i="9"/>
  <c r="U48" i="9"/>
  <c r="T48" i="9"/>
  <c r="AD47" i="9"/>
  <c r="AC47" i="9"/>
  <c r="AD46" i="9"/>
  <c r="AC46" i="9"/>
  <c r="T46" i="9"/>
  <c r="AD45" i="9"/>
  <c r="AC45" i="9"/>
  <c r="T45" i="9"/>
  <c r="AD44" i="9"/>
  <c r="AC44" i="9"/>
  <c r="T44" i="9"/>
  <c r="AD43" i="9"/>
  <c r="AC43" i="9"/>
  <c r="T43" i="9"/>
  <c r="AD42" i="9"/>
  <c r="AC42" i="9"/>
  <c r="T42" i="9"/>
  <c r="AD41" i="9"/>
  <c r="AC41" i="9"/>
  <c r="T41" i="9"/>
  <c r="AD40" i="9"/>
  <c r="AC40" i="9"/>
  <c r="T40" i="9"/>
  <c r="AD39" i="9"/>
  <c r="AC39" i="9"/>
  <c r="T39" i="9"/>
  <c r="AD38" i="9"/>
  <c r="AC38" i="9"/>
  <c r="T38" i="9"/>
  <c r="AD37" i="9"/>
  <c r="AC37" i="9"/>
  <c r="T37" i="9"/>
  <c r="AD36" i="9"/>
  <c r="AC36" i="9"/>
  <c r="T36" i="9"/>
  <c r="AD35" i="9"/>
  <c r="AC35" i="9"/>
  <c r="T35" i="9"/>
  <c r="AD34" i="9"/>
  <c r="AC34" i="9"/>
  <c r="T34" i="9"/>
  <c r="AD33" i="9"/>
  <c r="AC33" i="9"/>
  <c r="T33" i="9"/>
  <c r="AD32" i="9"/>
  <c r="AC32" i="9"/>
  <c r="T32" i="9"/>
  <c r="AD31" i="9"/>
  <c r="AC31" i="9"/>
  <c r="T31" i="9"/>
  <c r="AD30" i="9"/>
  <c r="AC30" i="9"/>
  <c r="T30" i="9"/>
  <c r="AD29" i="9"/>
  <c r="AC29" i="9"/>
  <c r="T29" i="9"/>
  <c r="AC28" i="9"/>
  <c r="T28" i="9"/>
  <c r="R28" i="12" s="1"/>
  <c r="S28" i="12" s="1"/>
  <c r="AD28" i="12" s="1"/>
  <c r="AC27" i="9"/>
  <c r="T27" i="9"/>
  <c r="R27" i="12" s="1"/>
  <c r="S27" i="12" s="1"/>
  <c r="AD27" i="12" s="1"/>
  <c r="AD26" i="9"/>
  <c r="AC26" i="9"/>
  <c r="AD25" i="9"/>
  <c r="AC25" i="9"/>
  <c r="T25" i="9"/>
  <c r="AD24" i="9"/>
  <c r="AC24" i="9"/>
  <c r="T24" i="9"/>
  <c r="AD23" i="9"/>
  <c r="AC23" i="9"/>
  <c r="T23" i="9"/>
  <c r="AD22" i="9"/>
  <c r="AC22" i="9"/>
  <c r="T22" i="9"/>
  <c r="AC21" i="9"/>
  <c r="T21" i="9"/>
  <c r="AD21" i="9" s="1"/>
  <c r="U21" i="9" s="1"/>
  <c r="U55" i="10"/>
  <c r="AD54" i="10"/>
  <c r="AC54" i="10"/>
  <c r="U54" i="10"/>
  <c r="T54" i="10"/>
  <c r="AD53" i="10"/>
  <c r="AC53" i="10"/>
  <c r="AD52" i="10"/>
  <c r="AC52" i="10"/>
  <c r="T52" i="10"/>
  <c r="AD51" i="10"/>
  <c r="AC51" i="10"/>
  <c r="T51" i="10"/>
  <c r="AD50" i="10"/>
  <c r="AC50" i="10"/>
  <c r="T50" i="10"/>
  <c r="AD49" i="10"/>
  <c r="AC49" i="10"/>
  <c r="T49" i="10"/>
  <c r="AD48" i="10"/>
  <c r="AC48" i="10"/>
  <c r="U48" i="10"/>
  <c r="T48" i="10"/>
  <c r="AD47" i="10"/>
  <c r="AC47" i="10"/>
  <c r="AD46" i="10"/>
  <c r="AC46" i="10"/>
  <c r="T46" i="10"/>
  <c r="AD45" i="10"/>
  <c r="AC45" i="10"/>
  <c r="T45" i="10"/>
  <c r="AD44" i="10"/>
  <c r="AC44" i="10"/>
  <c r="T44" i="10"/>
  <c r="AD43" i="10"/>
  <c r="AC43" i="10"/>
  <c r="T43" i="10"/>
  <c r="AD42" i="10"/>
  <c r="AC42" i="10"/>
  <c r="T42" i="10"/>
  <c r="AD41" i="10"/>
  <c r="AC41" i="10"/>
  <c r="T41" i="10"/>
  <c r="AD40" i="10"/>
  <c r="AC40" i="10"/>
  <c r="T40" i="10"/>
  <c r="AD39" i="10"/>
  <c r="AC39" i="10"/>
  <c r="T39" i="10"/>
  <c r="AD38" i="10"/>
  <c r="AC38" i="10"/>
  <c r="T38" i="10"/>
  <c r="AD37" i="10"/>
  <c r="AC37" i="10"/>
  <c r="T37" i="10"/>
  <c r="AD36" i="10"/>
  <c r="AC36" i="10"/>
  <c r="T36" i="10"/>
  <c r="AD35" i="10"/>
  <c r="AC35" i="10"/>
  <c r="T35" i="10"/>
  <c r="AD34" i="10"/>
  <c r="AC34" i="10"/>
  <c r="T34" i="10"/>
  <c r="AD33" i="10"/>
  <c r="AC33" i="10"/>
  <c r="T33" i="10"/>
  <c r="AD32" i="10"/>
  <c r="AC32" i="10"/>
  <c r="T32" i="10"/>
  <c r="AD31" i="10"/>
  <c r="AC31" i="10"/>
  <c r="T31" i="10"/>
  <c r="AD30" i="10"/>
  <c r="AC30" i="10"/>
  <c r="T30" i="10"/>
  <c r="AD29" i="10"/>
  <c r="AC29" i="10"/>
  <c r="T29" i="10"/>
  <c r="AD28" i="10"/>
  <c r="AC28" i="10"/>
  <c r="T28" i="10"/>
  <c r="AD27" i="10"/>
  <c r="AC27" i="10"/>
  <c r="U27" i="10"/>
  <c r="T27" i="10"/>
  <c r="AD26" i="10"/>
  <c r="AC26" i="10"/>
  <c r="AD25" i="10"/>
  <c r="AC25" i="10"/>
  <c r="T25" i="10"/>
  <c r="AD24" i="10"/>
  <c r="AC24" i="10"/>
  <c r="T24" i="10"/>
  <c r="AD23" i="10"/>
  <c r="AC23" i="10"/>
  <c r="T23" i="10"/>
  <c r="AD22" i="10"/>
  <c r="AC22" i="10"/>
  <c r="T22" i="10"/>
  <c r="AD21" i="10"/>
  <c r="AC21" i="10"/>
  <c r="U21" i="10"/>
  <c r="T21" i="10"/>
  <c r="AD54" i="8"/>
  <c r="AC54" i="8"/>
  <c r="U54" i="8"/>
  <c r="T54" i="8"/>
  <c r="AD53" i="8"/>
  <c r="AC53" i="8"/>
  <c r="AD52" i="8"/>
  <c r="AC52" i="8"/>
  <c r="T52" i="8"/>
  <c r="AD51" i="8"/>
  <c r="AC51" i="8"/>
  <c r="T51" i="8"/>
  <c r="AD50" i="8"/>
  <c r="AC50" i="8"/>
  <c r="T50" i="8"/>
  <c r="AD49" i="8"/>
  <c r="AC49" i="8"/>
  <c r="T49" i="8"/>
  <c r="AD48" i="8"/>
  <c r="AC48" i="8"/>
  <c r="U48" i="8"/>
  <c r="T48" i="8"/>
  <c r="AD47" i="8"/>
  <c r="AC47" i="8"/>
  <c r="AD46" i="8"/>
  <c r="AC46" i="8"/>
  <c r="T46" i="8"/>
  <c r="AD45" i="8"/>
  <c r="AC45" i="8"/>
  <c r="T45" i="8"/>
  <c r="AD44" i="8"/>
  <c r="AC44" i="8"/>
  <c r="T44" i="8"/>
  <c r="AD43" i="8"/>
  <c r="AC43" i="8"/>
  <c r="T43" i="8"/>
  <c r="AD42" i="8"/>
  <c r="AC42" i="8"/>
  <c r="T42" i="8"/>
  <c r="AD41" i="8"/>
  <c r="AC41" i="8"/>
  <c r="T41" i="8"/>
  <c r="AD40" i="8"/>
  <c r="AC40" i="8"/>
  <c r="T40" i="8"/>
  <c r="AD39" i="8"/>
  <c r="AC39" i="8"/>
  <c r="T39" i="8"/>
  <c r="AD38" i="8"/>
  <c r="AC38" i="8"/>
  <c r="T38" i="8"/>
  <c r="AD37" i="8"/>
  <c r="AC37" i="8"/>
  <c r="T37" i="8"/>
  <c r="AD36" i="8"/>
  <c r="AC36" i="8"/>
  <c r="T36" i="8"/>
  <c r="AD35" i="8"/>
  <c r="AC35" i="8"/>
  <c r="T35" i="8"/>
  <c r="AD34" i="8"/>
  <c r="AC34" i="8"/>
  <c r="T34" i="8"/>
  <c r="AD33" i="8"/>
  <c r="AC33" i="8"/>
  <c r="T33" i="8"/>
  <c r="AD32" i="8"/>
  <c r="AC32" i="8"/>
  <c r="T32" i="8"/>
  <c r="AD31" i="8"/>
  <c r="AC31" i="8"/>
  <c r="T31" i="8"/>
  <c r="AD30" i="8"/>
  <c r="AC30" i="8"/>
  <c r="T30" i="8"/>
  <c r="AD29" i="8"/>
  <c r="AC29" i="8"/>
  <c r="T29" i="8"/>
  <c r="AD28" i="8"/>
  <c r="AC28" i="8"/>
  <c r="T28" i="8"/>
  <c r="AD27" i="8"/>
  <c r="AC27" i="8"/>
  <c r="U27" i="8"/>
  <c r="T27" i="8"/>
  <c r="AD26" i="8"/>
  <c r="AC26" i="8"/>
  <c r="AD25" i="8"/>
  <c r="AC25" i="8"/>
  <c r="T25" i="8"/>
  <c r="AD24" i="8"/>
  <c r="AC24" i="8"/>
  <c r="T24" i="8"/>
  <c r="AC23" i="8"/>
  <c r="T23" i="8"/>
  <c r="AD23" i="8" s="1"/>
  <c r="AC22" i="8"/>
  <c r="T22" i="8"/>
  <c r="AD22" i="8" s="1"/>
  <c r="AC21" i="8"/>
  <c r="T21" i="8"/>
  <c r="AD21" i="8" s="1"/>
  <c r="U21" i="8" s="1"/>
  <c r="U55" i="8" s="1"/>
  <c r="U55" i="13"/>
  <c r="AD54" i="13"/>
  <c r="AC54" i="13"/>
  <c r="U54" i="13"/>
  <c r="T54" i="13"/>
  <c r="AD53" i="13"/>
  <c r="AC53" i="13"/>
  <c r="AD52" i="13"/>
  <c r="AC52" i="13"/>
  <c r="T52" i="13"/>
  <c r="AD51" i="13"/>
  <c r="AC51" i="13"/>
  <c r="T51" i="13"/>
  <c r="AD50" i="13"/>
  <c r="AC50" i="13"/>
  <c r="T50" i="13"/>
  <c r="AD49" i="13"/>
  <c r="AC49" i="13"/>
  <c r="T49" i="13"/>
  <c r="AD48" i="13"/>
  <c r="AC48" i="13"/>
  <c r="U48" i="13"/>
  <c r="T48" i="13"/>
  <c r="AD47" i="13"/>
  <c r="AC47" i="13"/>
  <c r="AD46" i="13"/>
  <c r="AC46" i="13"/>
  <c r="T46" i="13"/>
  <c r="AD45" i="13"/>
  <c r="AC45" i="13"/>
  <c r="T45" i="13"/>
  <c r="AD44" i="13"/>
  <c r="AC44" i="13"/>
  <c r="T44" i="13"/>
  <c r="AD43" i="13"/>
  <c r="AC43" i="13"/>
  <c r="T43" i="13"/>
  <c r="AD42" i="13"/>
  <c r="AC42" i="13"/>
  <c r="T42" i="13"/>
  <c r="AD41" i="13"/>
  <c r="AC41" i="13"/>
  <c r="T41" i="13"/>
  <c r="AD40" i="13"/>
  <c r="AC40" i="13"/>
  <c r="T40" i="13"/>
  <c r="AD39" i="13"/>
  <c r="AC39" i="13"/>
  <c r="T39" i="13"/>
  <c r="AD38" i="13"/>
  <c r="AC38" i="13"/>
  <c r="T38" i="13"/>
  <c r="AD37" i="13"/>
  <c r="AC37" i="13"/>
  <c r="T37" i="13"/>
  <c r="AD36" i="13"/>
  <c r="AC36" i="13"/>
  <c r="T36" i="13"/>
  <c r="AD35" i="13"/>
  <c r="AC35" i="13"/>
  <c r="T35" i="13"/>
  <c r="AD34" i="13"/>
  <c r="AC34" i="13"/>
  <c r="T34" i="13"/>
  <c r="AD33" i="13"/>
  <c r="AC33" i="13"/>
  <c r="T33" i="13"/>
  <c r="AD32" i="13"/>
  <c r="AC32" i="13"/>
  <c r="T32" i="13"/>
  <c r="AD31" i="13"/>
  <c r="AC31" i="13"/>
  <c r="T31" i="13"/>
  <c r="AD30" i="13"/>
  <c r="AC30" i="13"/>
  <c r="T30" i="13"/>
  <c r="AD29" i="13"/>
  <c r="AC29" i="13"/>
  <c r="T29" i="13"/>
  <c r="AD28" i="13"/>
  <c r="AC28" i="13"/>
  <c r="T28" i="13"/>
  <c r="AD27" i="13"/>
  <c r="AC27" i="13"/>
  <c r="U27" i="13"/>
  <c r="T27" i="13"/>
  <c r="AD26" i="13"/>
  <c r="AC26" i="13"/>
  <c r="AD25" i="13"/>
  <c r="AC25" i="13"/>
  <c r="T25" i="13"/>
  <c r="AD24" i="13"/>
  <c r="AC24" i="13"/>
  <c r="T24" i="13"/>
  <c r="AD23" i="13"/>
  <c r="AC23" i="13"/>
  <c r="T23" i="13"/>
  <c r="AD22" i="13"/>
  <c r="AC22" i="13"/>
  <c r="T22" i="13"/>
  <c r="AD21" i="13"/>
  <c r="AC21" i="13"/>
  <c r="U21" i="13"/>
  <c r="T21" i="13"/>
  <c r="AD27" i="9" l="1"/>
  <c r="AD28" i="9"/>
  <c r="U27" i="12"/>
  <c r="U27" i="9"/>
  <c r="U55" i="9" s="1"/>
  <c r="R21" i="12"/>
  <c r="P23" i="12"/>
  <c r="S23" i="12" s="1"/>
  <c r="AD23" i="12" s="1"/>
  <c r="P21" i="12"/>
  <c r="S21" i="12" s="1"/>
  <c r="AD21" i="12" s="1"/>
  <c r="P22" i="12"/>
  <c r="S22" i="12" s="1"/>
  <c r="AD22" i="12" s="1"/>
  <c r="U21" i="12" l="1"/>
  <c r="U55" i="12" s="1"/>
</calcChain>
</file>

<file path=xl/sharedStrings.xml><?xml version="1.0" encoding="utf-8"?>
<sst xmlns="http://schemas.openxmlformats.org/spreadsheetml/2006/main" count="616" uniqueCount="92">
  <si>
    <t>LISTA DE CHEQUEO PARA PLAN DE MANEJO AMBIENTAL</t>
  </si>
  <si>
    <r>
      <rPr>
        <b/>
        <sz val="11"/>
        <rFont val="Times New Roman"/>
        <charset val="134"/>
      </rPr>
      <t xml:space="preserve">Código: </t>
    </r>
    <r>
      <rPr>
        <sz val="11"/>
        <rFont val="Times New Roman"/>
        <charset val="134"/>
      </rPr>
      <t xml:space="preserve">GES-FO-082
</t>
    </r>
    <r>
      <rPr>
        <b/>
        <sz val="11"/>
        <rFont val="Times New Roman"/>
        <charset val="134"/>
      </rPr>
      <t>Versión:</t>
    </r>
    <r>
      <rPr>
        <sz val="11"/>
        <rFont val="Times New Roman"/>
        <charset val="134"/>
      </rPr>
      <t xml:space="preserve"> 2
</t>
    </r>
    <r>
      <rPr>
        <b/>
        <sz val="11"/>
        <rFont val="Times New Roman"/>
        <charset val="134"/>
      </rPr>
      <t>Fecha de Aprobación:</t>
    </r>
    <r>
      <rPr>
        <sz val="11"/>
        <rFont val="Times New Roman"/>
        <charset val="134"/>
      </rPr>
      <t xml:space="preserve"> 15-jun-2022
Clasificación: Público</t>
    </r>
  </si>
  <si>
    <t>CONTRATO</t>
  </si>
  <si>
    <t>703 del 2024</t>
  </si>
  <si>
    <t>PROYECTO</t>
  </si>
  <si>
    <t>Parques y EP002</t>
  </si>
  <si>
    <t>FASE O ETAPA</t>
  </si>
  <si>
    <t>No. FASE / ETAPA:</t>
  </si>
  <si>
    <t>Obra</t>
  </si>
  <si>
    <t>PERIODO COMPRENDIDO ENTRE EL:</t>
  </si>
  <si>
    <t xml:space="preserve">Y EL </t>
  </si>
  <si>
    <t>INFORME No.</t>
  </si>
  <si>
    <t>TIPO DE CONTRATO</t>
  </si>
  <si>
    <t>OBJETO</t>
  </si>
  <si>
    <t>LA INTERVENTORÍA INTEGRAL (TÉCNICA, ADMINISTRATIVA, FINANCIERA, CONTABLE, LEGAL, AMBIENTAL Y DE SEGURIDAD Y SALUD EN EL TRABAJO) PARA REALIZAR LAS OBRAS DE CONSERVACIÓN Y CONSTRUCCIÓN DE: ESPACIO PUBLICO, PARQUES, PUENTES VEHICULARES Y/O PEATONALES SOBRE CUERPOS DE AGUA Y DE MALLA VIAL EN LA LOCALIDAD DE BOSA</t>
  </si>
  <si>
    <t>NOMBRE DEL PROYECTO</t>
  </si>
  <si>
    <t>CONTRATISTA:</t>
  </si>
  <si>
    <t>CONSORCIO PARQUES Y EP002</t>
  </si>
  <si>
    <t xml:space="preserve">CONTRATO No:    </t>
  </si>
  <si>
    <t>INTERVENTOR:</t>
  </si>
  <si>
    <t>CONSORCIO INFRAESTRUCTURA BOSA</t>
  </si>
  <si>
    <t xml:space="preserve">CONTRATO No:     </t>
  </si>
  <si>
    <t>FDT-ATBOSA-I-028-2025</t>
  </si>
  <si>
    <t>SUPERVISOR:</t>
  </si>
  <si>
    <t>Dario Morales</t>
  </si>
  <si>
    <t>FECHA:</t>
  </si>
  <si>
    <t>Porcentaje total de componentes 100%</t>
  </si>
  <si>
    <t>%Cump</t>
  </si>
  <si>
    <t>%Cumpli.</t>
  </si>
  <si>
    <t>No.</t>
  </si>
  <si>
    <t>DESCRIPCIÓN</t>
  </si>
  <si>
    <t>SI</t>
  </si>
  <si>
    <t>NO</t>
  </si>
  <si>
    <t>N.A.</t>
  </si>
  <si>
    <t>RESUELTO</t>
  </si>
  <si>
    <t>PONDERACION</t>
  </si>
  <si>
    <t>PROMEDIO</t>
  </si>
  <si>
    <t>Componente%</t>
  </si>
  <si>
    <t>COMPONENTE A</t>
  </si>
  <si>
    <t>Aplicabilidad</t>
  </si>
  <si>
    <t>Ponderación</t>
  </si>
  <si>
    <t>El contratista mantiene actualizado el contenido de las carpetas A&amp;SST exigidas</t>
  </si>
  <si>
    <t>X</t>
  </si>
  <si>
    <t>Se cumple con el plan de acciones correctivas y/o preventivas a las observaciones en el ámbito A&amp;SST hechas por la Interventoría en el desarrollo de las actividades del proyecto</t>
  </si>
  <si>
    <t>La brigada de orden, aseo y limpieza – BOAL está conformada y dotada de acuerdo a lo especificado en el pliego de condiciones y cumple sus funciones.</t>
  </si>
  <si>
    <t>Se entrega de manera oportuna de acuerdo a lo definido en los comités, todos los soportes de proveedores de materiales y sitio de disposición final de RCD producto de las actividades de obra.</t>
  </si>
  <si>
    <t>Se cumple con todos los procedimientos ofertados en el MAO aprobado</t>
  </si>
  <si>
    <t>COMPONENTE B</t>
  </si>
  <si>
    <t>Hay escombros o materiales en espacio publico</t>
  </si>
  <si>
    <t>Los materiales de la obra están cubiertos con lonas, plásticos o geotextil y acordonados</t>
  </si>
  <si>
    <t>Se implementan las medidas de manejo necesarias para impedir el aporte de sólidos o sustancias contaminantes al sistema de alcantarillado o cuerpos de agua.</t>
  </si>
  <si>
    <t>El campamento de obra se encuentra debidamente demarcado, señalizado, ordenado y aseado de acuerdo a lo ofertado en el MAO.</t>
  </si>
  <si>
    <t>Existe aislamiento del equipo y operario en uso de cortadora, para mitigar el material particulado</t>
  </si>
  <si>
    <t>Los materiales almacenados  interfieren el trafico peatonal, vehicular y espacio publico</t>
  </si>
  <si>
    <t>Los vehículos para transporte de material no exceden su capacidad, están cubiertos los escombros</t>
  </si>
  <si>
    <t>Se garantiza la limpieza de las llantas de todos los vehículos que salen de la obra</t>
  </si>
  <si>
    <t>Se limpia el lugar donde se cargan las volquetas</t>
  </si>
  <si>
    <t>Se realiza la disposición final de los escombros en lugar autorizado</t>
  </si>
  <si>
    <t>Las canecas están marcadas para diferenciar el tipo de desecho y están pintadas con color adecuado</t>
  </si>
  <si>
    <t xml:space="preserve">Los desechos son evacuados máximo cada dos días por empresas publicas </t>
  </si>
  <si>
    <t>Se usan canecas para escurrir los tarros de aceites y filtros</t>
  </si>
  <si>
    <t>Hay kit ambiental para recolección de derrames accidentales de aceite</t>
  </si>
  <si>
    <t>La maquinaria y los equipos están en buen funcionamiento</t>
  </si>
  <si>
    <t>Se realizan arreglos preventivos o reparación a equipos en área de trabajo</t>
  </si>
  <si>
    <t>Los vehículos, equipo y maquinaria cuentan con revisión tecno mecánica actualizada</t>
  </si>
  <si>
    <t>Los materiales de construcción son adquiridos en sitios autorizados</t>
  </si>
  <si>
    <t>Se realiza acopio temporal de materiales, equipos en predios particulares sin autorización, en zonas verdes, parques o desagüe</t>
  </si>
  <si>
    <t>Las unidades sanitarias se encuentran de acuerdo a lo especificado en los pliegos de condiciones y/o en la normativa vigente</t>
  </si>
  <si>
    <t>COMPONENTE C</t>
  </si>
  <si>
    <t>Las zonas verdes en el área de intervención de la obra se encuentran libres de materiales de construcción, a menos que se cuente con la autorización de la interventoría y/o la Autoridad Competente para uso temporal. Las zonas verdes usadas temporalmente deben quedan en condiciones iguales o mejores a las presentes antes de la afectación.</t>
  </si>
  <si>
    <t>Sí existen individuos arbóreos en el área de influencia directa de la obra, éstos se encuentran debidamente protegidos según las especificaciones que al respecto se incluyen en el estipulado en el apéndice A&amp;SST y sin afectación alguna por las actividades o acciones de obra.</t>
  </si>
  <si>
    <t>Se realiza la ejecución de tratamientos silviculturales y el procedimiento de avifauna según lo estipulado por el Manual de Silvicultura Urbana del JBB y en cumplimiento de la Resolución de aprobación emitida por la AAC</t>
  </si>
  <si>
    <t>Se realiza el seguimiento y mantenimiento periódico de los individuos vegetales del área de influencia del contrato.</t>
  </si>
  <si>
    <t>Se cuenta con personal de medio ambiente encargado de realizar actividades en este tema</t>
  </si>
  <si>
    <t>COMPONENTE E</t>
  </si>
  <si>
    <t>Se mantiene instalado y en buenas condiciones el cerramiento relacionado con la gestión Ambiental y SST de los frentes en intervención de acuerdo a lo especificado en el pliego de condiciones.</t>
  </si>
  <si>
    <t>TOTAL EVALUADO</t>
  </si>
  <si>
    <t>OBSERVACIONES</t>
  </si>
  <si>
    <r>
      <rPr>
        <b/>
        <sz val="10"/>
        <color theme="1"/>
        <rFont val="Times New Roman"/>
        <charset val="134"/>
      </rPr>
      <t>Componente A:</t>
    </r>
    <r>
      <rPr>
        <sz val="10"/>
        <color theme="1"/>
        <rFont val="Times New Roman"/>
        <charset val="134"/>
      </rPr>
      <t xml:space="preserve"> -El contratista mantiene actualizado el contenido de las carpetas A&amp;SST exigidas, ya que a la fecha la bitacora no esta actualizada. 
</t>
    </r>
    <r>
      <rPr>
        <b/>
        <sz val="10"/>
        <color theme="1"/>
        <rFont val="Times New Roman"/>
        <charset val="134"/>
      </rPr>
      <t>Componente B:</t>
    </r>
    <r>
      <rPr>
        <sz val="10"/>
        <color theme="1"/>
        <rFont val="Times New Roman"/>
        <charset val="134"/>
      </rPr>
      <t xml:space="preserve"> -Existe aislamiento del equipo y operario en uso de cortadora, para mitigar el material particulado: Para esta semana no se cuenta con este material, por lo tanto, no se toma encuenta. 
-Se usan canecas para escurrir los tarros de aceites y filtros: En este periodo no se cuenta con este item, por lo tanto no se tiene en cuenta.
</t>
    </r>
    <r>
      <rPr>
        <b/>
        <sz val="10"/>
        <color theme="1"/>
        <rFont val="Times New Roman"/>
        <charset val="134"/>
      </rPr>
      <t>Componente C:</t>
    </r>
    <r>
      <rPr>
        <sz val="10"/>
        <color theme="1"/>
        <rFont val="Times New Roman"/>
        <charset val="134"/>
      </rPr>
      <t xml:space="preserve"> - Sí existen individuos arbóreos en el área de influencia directa de la obra, éstos se encuentran debidamente protegidos según las especificaciones que al respecto se incluyen en el estipulado en el apéndice A&amp;SST y sin afectación alguna por las actividades o acciones de obra: en este periodo no se realizan estas acciones, por lo tanto, no se toma encuenta.
-Se realiza la ejecución de tratamientos silviculturales y el procedimiento de avifauna según lo estipulado por el Manual de Silvicultura Urbana del JBB y en cumplimiento de la Resolución de aprobación emitida por la AAC:Se realiza la ejecución de tratamientos silviculturales y el procedimiento de avifauna según lo estipulado por el Manual de Silvicultura Urbana del JBB y en cumplimiento de la Resolución de aprobación emitida por la AAC: en este periodo no se realizan estas acciones, por lo tanto, no se toma encuenta. 
-Se realiza el seguimiento y mantenimiento periódico de los individuos vegetales del área de influencia del contrato: Se realiza el seguimiento y mantenimiento periódico de los individuos vegetales del área de influencia del contrato.</t>
    </r>
  </si>
  <si>
    <t>&lt;Nota: Incluya las filas que considere necesarias&gt;</t>
  </si>
  <si>
    <t>Andrés Mauricio Arias Vargas</t>
  </si>
  <si>
    <t>Ingrid Catherine Báez Sanabria</t>
  </si>
  <si>
    <t>Residente Ambiental Interventoría</t>
  </si>
  <si>
    <t>Consorcio Infraestructura Bosa</t>
  </si>
  <si>
    <t>CONSORCIO PARQUES &amp; EP 002</t>
  </si>
  <si>
    <t>Residente Ambiental</t>
  </si>
  <si>
    <t>Observaciones</t>
  </si>
  <si>
    <t>SEMANA 1</t>
  </si>
  <si>
    <t>SEMANA 2</t>
  </si>
  <si>
    <t>SEMANA 3</t>
  </si>
  <si>
    <t>SEMANA 4</t>
  </si>
  <si>
    <r>
      <rPr>
        <sz val="10"/>
        <color theme="1"/>
        <rFont val="Times New Roman"/>
        <charset val="134"/>
      </rPr>
      <t xml:space="preserve"> 
</t>
    </r>
    <r>
      <rPr>
        <b/>
        <sz val="10"/>
        <color theme="1"/>
        <rFont val="Times New Roman"/>
        <family val="1"/>
      </rPr>
      <t>Componente B:</t>
    </r>
    <r>
      <rPr>
        <sz val="10"/>
        <color theme="1"/>
        <rFont val="Times New Roman"/>
        <charset val="134"/>
      </rPr>
      <t xml:space="preserve"> -Existe aislamiento del equipo y operario en uso de cortadora, para mitigar el material particulado: Para esta semana no se cuenta con este material, por lo tanto, no se toma encuenta. 
-Se usan canecas para escurrir los tarros de aceites y filtros: En este periodo no se cuenta con este item, por lo tanto no se tiene en cuenta.
</t>
    </r>
    <r>
      <rPr>
        <b/>
        <sz val="10"/>
        <color theme="1"/>
        <rFont val="Times New Roman"/>
        <family val="1"/>
      </rPr>
      <t>Componente C:</t>
    </r>
    <r>
      <rPr>
        <sz val="10"/>
        <color theme="1"/>
        <rFont val="Times New Roman"/>
        <charset val="134"/>
      </rPr>
      <t xml:space="preserve"> - Sí existen individuos arbóreos en el área de influencia directa de la obra, éstos se encuentran debidamente protegidos según las especificaciones que al respecto se incluyen en el estipulado en el apéndice A&amp;SST y sin afectación alguna por las actividades o acciones de obra: en este periodo no se realizan estas acciones, por lo tanto, no se toma encuenta.
-Se realiza la ejecución de tratamientos silviculturales y el procedimiento de avifauna según lo estipulado por el Manual de Silvicultura Urbana del JBB y en cumplimiento de la Resolución de aprobación emitida por la AAC:Se realiza la ejecución de tratamientos silviculturales y el procedimiento de avifauna según lo estipulado por el Manual de Silvicultura Urbana del JBB y en cumplimiento de la Resolución de aprobación emitida por la AAC: en este periodo no se realizan estas acciones, por lo tanto, no se toma encuenta. 
-Se realiza el seguimiento y mantenimiento periódico de los individuos vegetales del área de influencia del contrato: Se realiza el seguimiento y mantenimiento periódico de los individuos vegetales del área de influencia del contrato.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</si>
</sst>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24">
    <font>
      <sz val="11"/>
      <color theme="1"/>
      <name val="Calibri"/>
      <charset val="134"/>
      <scheme val="minor"/>
    </font>
    <font>
      <sz val="10"/>
      <name val="Times New Roman"/>
      <charset val="134"/>
    </font>
    <font>
      <sz val="11"/>
      <color theme="1"/>
      <name val="Times New Roman"/>
      <charset val="134"/>
    </font>
    <font>
      <b/>
      <sz val="11"/>
      <name val="Times New Roman"/>
      <charset val="134"/>
    </font>
    <font>
      <b/>
      <sz val="10"/>
      <name val="Times New Roman"/>
      <charset val="134"/>
    </font>
    <font>
      <b/>
      <sz val="9"/>
      <name val="Times New Roman"/>
      <charset val="134"/>
    </font>
    <font>
      <i/>
      <sz val="10"/>
      <color theme="0" tint="-0.499984740745262"/>
      <name val="Times New Roman"/>
      <charset val="134"/>
    </font>
    <font>
      <sz val="10"/>
      <color theme="1"/>
      <name val="Times New Roman"/>
      <charset val="134"/>
    </font>
    <font>
      <b/>
      <sz val="9"/>
      <color theme="1"/>
      <name val="Times New Roman"/>
      <charset val="134"/>
    </font>
    <font>
      <b/>
      <sz val="10"/>
      <color theme="1"/>
      <name val="Times New Roman"/>
      <charset val="134"/>
    </font>
    <font>
      <b/>
      <sz val="11"/>
      <color theme="1"/>
      <name val="Times New Roman"/>
      <charset val="134"/>
    </font>
    <font>
      <b/>
      <sz val="10"/>
      <color indexed="8"/>
      <name val="Times New Roman"/>
      <charset val="134"/>
    </font>
    <font>
      <i/>
      <sz val="10"/>
      <color rgb="FFC00000"/>
      <name val="Times New Roman"/>
      <charset val="134"/>
    </font>
    <font>
      <sz val="11"/>
      <name val="Times New Roman"/>
      <charset val="134"/>
    </font>
    <font>
      <i/>
      <sz val="9"/>
      <color theme="0" tint="-0.499984740745262"/>
      <name val="Times New Roman"/>
      <charset val="134"/>
    </font>
    <font>
      <sz val="8"/>
      <color theme="1"/>
      <name val="Times New Roman"/>
      <charset val="134"/>
    </font>
    <font>
      <b/>
      <sz val="9"/>
      <name val="Arial"/>
      <charset val="134"/>
    </font>
    <font>
      <sz val="8"/>
      <name val="Arial"/>
      <charset val="134"/>
    </font>
    <font>
      <i/>
      <sz val="10"/>
      <color theme="1"/>
      <name val="Times New Roman"/>
      <charset val="134"/>
    </font>
    <font>
      <b/>
      <sz val="12"/>
      <color theme="1"/>
      <name val="Times New Roman"/>
      <charset val="134"/>
    </font>
    <font>
      <b/>
      <sz val="10"/>
      <color theme="1"/>
      <name val="Times New Roman"/>
      <charset val="134"/>
    </font>
    <font>
      <sz val="11"/>
      <color theme="1"/>
      <name val="Calibri"/>
      <charset val="134"/>
      <scheme val="minor"/>
    </font>
    <font>
      <b/>
      <sz val="10"/>
      <color theme="1"/>
      <name val="Times New Roman"/>
      <family val="1"/>
    </font>
    <font>
      <sz val="10"/>
      <color theme="1"/>
      <name val="Times New Roman"/>
      <family val="1"/>
    </font>
  </fonts>
  <fills count="8">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4" tint="0.39991454817346722"/>
        <bgColor indexed="64"/>
      </patternFill>
    </fill>
    <fill>
      <patternFill patternType="solid">
        <fgColor theme="6" tint="0.59999389629810485"/>
        <bgColor indexed="64"/>
      </patternFill>
    </fill>
    <fill>
      <patternFill patternType="solid">
        <fgColor rgb="FFA5A5A5"/>
        <bgColor rgb="FFA5A5A5"/>
      </patternFill>
    </fill>
    <fill>
      <patternFill patternType="solid">
        <fgColor rgb="FFFFFFFF"/>
        <bgColor rgb="FFFFFFFF"/>
      </patternFill>
    </fill>
  </fills>
  <borders count="58">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style="medium">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medium">
        <color auto="1"/>
      </right>
      <top style="thin">
        <color auto="1"/>
      </top>
      <bottom style="medium">
        <color auto="1"/>
      </bottom>
      <diagonal/>
    </border>
    <border>
      <left/>
      <right style="medium">
        <color auto="1"/>
      </right>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style="medium">
        <color auto="1"/>
      </right>
      <top/>
      <bottom/>
      <diagonal/>
    </border>
    <border>
      <left style="thin">
        <color auto="1"/>
      </left>
      <right style="thin">
        <color auto="1"/>
      </right>
      <top/>
      <bottom style="medium">
        <color auto="1"/>
      </bottom>
      <diagonal/>
    </border>
    <border>
      <left style="thin">
        <color auto="1"/>
      </left>
      <right style="thin">
        <color auto="1"/>
      </right>
      <top style="medium">
        <color auto="1"/>
      </top>
      <bottom/>
      <diagonal/>
    </border>
    <border>
      <left style="thin">
        <color auto="1"/>
      </left>
      <right style="medium">
        <color auto="1"/>
      </right>
      <top style="thin">
        <color auto="1"/>
      </top>
      <bottom/>
      <diagonal/>
    </border>
    <border>
      <left/>
      <right style="medium">
        <color auto="1"/>
      </right>
      <top style="thin">
        <color auto="1"/>
      </top>
      <bottom/>
      <diagonal/>
    </border>
    <border>
      <left style="thin">
        <color auto="1"/>
      </left>
      <right/>
      <top style="medium">
        <color auto="1"/>
      </top>
      <bottom/>
      <diagonal/>
    </border>
    <border>
      <left style="medium">
        <color auto="1"/>
      </left>
      <right style="medium">
        <color auto="1"/>
      </right>
      <top style="medium">
        <color auto="1"/>
      </top>
      <bottom/>
      <diagonal/>
    </border>
    <border>
      <left style="thin">
        <color auto="1"/>
      </left>
      <right/>
      <top style="thin">
        <color auto="1"/>
      </top>
      <bottom style="thin">
        <color auto="1"/>
      </bottom>
      <diagonal/>
    </border>
    <border>
      <left style="medium">
        <color auto="1"/>
      </left>
      <right style="medium">
        <color auto="1"/>
      </right>
      <top/>
      <bottom style="thin">
        <color auto="1"/>
      </bottom>
      <diagonal/>
    </border>
    <border>
      <left style="medium">
        <color auto="1"/>
      </left>
      <right style="medium">
        <color auto="1"/>
      </right>
      <top/>
      <bottom/>
      <diagonal/>
    </border>
    <border>
      <left style="thin">
        <color auto="1"/>
      </left>
      <right/>
      <top/>
      <bottom style="medium">
        <color auto="1"/>
      </bottom>
      <diagonal/>
    </border>
    <border>
      <left style="medium">
        <color auto="1"/>
      </left>
      <right style="medium">
        <color auto="1"/>
      </right>
      <top/>
      <bottom style="medium">
        <color auto="1"/>
      </bottom>
      <diagonal/>
    </border>
    <border>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000000"/>
      </left>
      <right style="thin">
        <color rgb="FF000000"/>
      </right>
      <top style="thin">
        <color rgb="FF000000"/>
      </top>
      <bottom style="thin">
        <color rgb="FF000000"/>
      </bottom>
      <diagonal/>
    </border>
    <border>
      <left/>
      <right style="thin">
        <color auto="1"/>
      </right>
      <top style="medium">
        <color auto="1"/>
      </top>
      <bottom/>
      <diagonal/>
    </border>
    <border>
      <left/>
      <right style="thin">
        <color auto="1"/>
      </right>
      <top/>
      <bottom/>
      <diagonal/>
    </border>
    <border>
      <left style="thin">
        <color auto="1"/>
      </left>
      <right/>
      <top/>
      <bottom/>
      <diagonal/>
    </border>
    <border>
      <left style="medium">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medium">
        <color auto="1"/>
      </right>
      <top/>
      <bottom style="thin">
        <color auto="1"/>
      </bottom>
      <diagonal/>
    </border>
    <border>
      <left/>
      <right/>
      <top/>
      <bottom style="hair">
        <color auto="1"/>
      </bottom>
      <diagonal/>
    </border>
    <border>
      <left/>
      <right style="medium">
        <color auto="1"/>
      </right>
      <top style="thin">
        <color auto="1"/>
      </top>
      <bottom style="thin">
        <color auto="1"/>
      </bottom>
      <diagonal/>
    </border>
    <border>
      <left style="thin">
        <color auto="1"/>
      </left>
      <right style="medium">
        <color auto="1"/>
      </right>
      <top/>
      <bottom/>
      <diagonal/>
    </border>
  </borders>
  <cellStyleXfs count="2">
    <xf numFmtId="0" fontId="0" fillId="0" borderId="0"/>
    <xf numFmtId="9" fontId="21" fillId="0" borderId="0" applyFont="0" applyFill="0" applyBorder="0" applyAlignment="0" applyProtection="0"/>
  </cellStyleXfs>
  <cellXfs count="297">
    <xf numFmtId="0" fontId="0" fillId="0" borderId="0" xfId="0"/>
    <xf numFmtId="0" fontId="1" fillId="0" borderId="0" xfId="0" applyFont="1" applyAlignment="1">
      <alignment vertical="center"/>
    </xf>
    <xf numFmtId="0" fontId="2" fillId="0" borderId="0" xfId="0" applyFont="1" applyAlignment="1">
      <alignment horizontal="left"/>
    </xf>
    <xf numFmtId="0" fontId="2" fillId="0" borderId="0" xfId="0" applyFont="1"/>
    <xf numFmtId="0" fontId="1" fillId="0" borderId="5" xfId="0" applyFont="1" applyBorder="1" applyAlignment="1">
      <alignment vertical="center"/>
    </xf>
    <xf numFmtId="0" fontId="1" fillId="0" borderId="0" xfId="0" applyFont="1" applyBorder="1" applyAlignment="1">
      <alignment vertical="center"/>
    </xf>
    <xf numFmtId="0" fontId="4" fillId="2" borderId="0" xfId="0" applyFont="1" applyFill="1" applyBorder="1" applyAlignment="1">
      <alignment vertical="center"/>
    </xf>
    <xf numFmtId="0" fontId="5" fillId="0" borderId="4" xfId="0" applyFont="1" applyBorder="1" applyAlignment="1">
      <alignment horizontal="center" vertical="center" wrapText="1"/>
    </xf>
    <xf numFmtId="0" fontId="5" fillId="0" borderId="0" xfId="0" applyFont="1" applyBorder="1" applyAlignment="1">
      <alignment horizontal="center" vertical="center" wrapText="1"/>
    </xf>
    <xf numFmtId="0" fontId="5" fillId="2" borderId="4" xfId="0" applyFont="1" applyFill="1" applyBorder="1" applyAlignment="1">
      <alignment horizontal="center" vertical="center" wrapText="1"/>
    </xf>
    <xf numFmtId="0" fontId="1" fillId="0" borderId="6" xfId="0" applyFont="1" applyBorder="1" applyAlignment="1">
      <alignment vertical="center"/>
    </xf>
    <xf numFmtId="0" fontId="1" fillId="0" borderId="7" xfId="0" applyFont="1" applyBorder="1" applyAlignment="1">
      <alignment vertical="center"/>
    </xf>
    <xf numFmtId="0" fontId="4" fillId="2" borderId="7" xfId="0" applyFont="1" applyFill="1" applyBorder="1" applyAlignment="1">
      <alignment vertical="center"/>
    </xf>
    <xf numFmtId="14" fontId="4" fillId="0" borderId="0" xfId="0" applyNumberFormat="1" applyFont="1" applyAlignment="1">
      <alignment horizontal="left" vertical="center" wrapText="1"/>
    </xf>
    <xf numFmtId="0" fontId="4" fillId="0" borderId="0" xfId="0" applyFont="1" applyAlignment="1">
      <alignment horizontal="left" vertical="center" wrapText="1"/>
    </xf>
    <xf numFmtId="0" fontId="4" fillId="0" borderId="5" xfId="0" applyFont="1" applyBorder="1" applyAlignment="1">
      <alignment horizontal="left" vertical="center" wrapText="1"/>
    </xf>
    <xf numFmtId="14" fontId="1" fillId="0" borderId="0" xfId="0" applyNumberFormat="1" applyFont="1" applyAlignment="1">
      <alignment horizontal="left" vertical="center"/>
    </xf>
    <xf numFmtId="0" fontId="1" fillId="0" borderId="0" xfId="0" applyFont="1" applyAlignment="1">
      <alignment horizontal="left" vertical="center"/>
    </xf>
    <xf numFmtId="0" fontId="6" fillId="0" borderId="0" xfId="0" applyFont="1" applyAlignment="1">
      <alignment horizontal="left" vertical="center" wrapText="1"/>
    </xf>
    <xf numFmtId="0" fontId="6" fillId="0" borderId="0" xfId="0" applyFont="1" applyAlignment="1">
      <alignment horizontal="left" vertical="center"/>
    </xf>
    <xf numFmtId="0" fontId="8" fillId="3" borderId="8" xfId="0" applyFont="1" applyFill="1" applyBorder="1" applyAlignment="1">
      <alignment horizontal="center" vertical="center"/>
    </xf>
    <xf numFmtId="0" fontId="8" fillId="3" borderId="9" xfId="0" applyFont="1" applyFill="1" applyBorder="1" applyAlignment="1">
      <alignment horizontal="center" vertical="center"/>
    </xf>
    <xf numFmtId="0" fontId="4" fillId="3" borderId="3" xfId="0" applyFont="1" applyFill="1" applyBorder="1" applyAlignment="1">
      <alignment horizontal="left" vertical="center" wrapText="1"/>
    </xf>
    <xf numFmtId="0" fontId="4" fillId="0" borderId="0" xfId="0" applyFont="1" applyBorder="1" applyAlignment="1">
      <alignment horizontal="left" vertical="center"/>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3" xfId="0" applyFont="1" applyBorder="1" applyAlignment="1">
      <alignment horizontal="center" vertical="center" wrapText="1"/>
    </xf>
    <xf numFmtId="0" fontId="7" fillId="0" borderId="3" xfId="0" applyFont="1" applyBorder="1" applyAlignment="1">
      <alignment horizontal="center" vertical="center"/>
    </xf>
    <xf numFmtId="0" fontId="7" fillId="0" borderId="19" xfId="0" applyFont="1" applyBorder="1" applyAlignment="1">
      <alignment horizontal="center" vertical="center"/>
    </xf>
    <xf numFmtId="0" fontId="7" fillId="0" borderId="17" xfId="0" applyFont="1" applyBorder="1" applyAlignment="1">
      <alignment horizontal="center" vertical="center"/>
    </xf>
    <xf numFmtId="0" fontId="9" fillId="0" borderId="16" xfId="0" applyFont="1" applyBorder="1" applyAlignment="1">
      <alignment horizontal="left" vertical="center"/>
    </xf>
    <xf numFmtId="0" fontId="7" fillId="0" borderId="23" xfId="0" applyFont="1" applyBorder="1" applyAlignment="1">
      <alignment horizontal="center" vertical="center"/>
    </xf>
    <xf numFmtId="0" fontId="12" fillId="0" borderId="5" xfId="0" applyFont="1" applyBorder="1" applyAlignment="1">
      <alignment horizontal="left"/>
    </xf>
    <xf numFmtId="0" fontId="10" fillId="0" borderId="0" xfId="0" applyFont="1" applyBorder="1" applyAlignment="1">
      <alignment horizontal="left"/>
    </xf>
    <xf numFmtId="0" fontId="10" fillId="0" borderId="5" xfId="0" applyFont="1" applyBorder="1" applyAlignment="1">
      <alignment horizontal="center"/>
    </xf>
    <xf numFmtId="0" fontId="10" fillId="0" borderId="0" xfId="0" applyFont="1" applyBorder="1" applyAlignment="1">
      <alignment horizontal="center"/>
    </xf>
    <xf numFmtId="0" fontId="2" fillId="0" borderId="5" xfId="0" applyFont="1" applyBorder="1"/>
    <xf numFmtId="0" fontId="7" fillId="0" borderId="0" xfId="0" applyFont="1" applyBorder="1" applyAlignment="1">
      <alignment horizontal="left"/>
    </xf>
    <xf numFmtId="0" fontId="2" fillId="0" borderId="0" xfId="0" applyFont="1" applyBorder="1" applyAlignment="1">
      <alignment horizontal="center"/>
    </xf>
    <xf numFmtId="0" fontId="2" fillId="0" borderId="0" xfId="0" applyFont="1" applyBorder="1"/>
    <xf numFmtId="0" fontId="7" fillId="0" borderId="0" xfId="0" applyFont="1" applyBorder="1" applyAlignment="1">
      <alignment horizontal="center"/>
    </xf>
    <xf numFmtId="0" fontId="3" fillId="0" borderId="9" xfId="0" applyFont="1" applyBorder="1" applyAlignment="1">
      <alignment horizontal="center" vertical="center" wrapText="1"/>
    </xf>
    <xf numFmtId="0" fontId="3" fillId="0" borderId="0" xfId="0" applyFont="1" applyAlignment="1">
      <alignment horizontal="center" vertical="center" wrapText="1"/>
    </xf>
    <xf numFmtId="0" fontId="4" fillId="2" borderId="31" xfId="0" applyFont="1" applyFill="1" applyBorder="1" applyAlignment="1">
      <alignment vertical="center"/>
    </xf>
    <xf numFmtId="0" fontId="4" fillId="2" borderId="0" xfId="0" applyFont="1" applyFill="1" applyAlignment="1">
      <alignment vertical="center"/>
    </xf>
    <xf numFmtId="0" fontId="1" fillId="0" borderId="4" xfId="0" applyFont="1" applyBorder="1" applyAlignment="1">
      <alignment vertical="center"/>
    </xf>
    <xf numFmtId="0" fontId="5" fillId="2" borderId="31" xfId="0" applyFont="1" applyFill="1" applyBorder="1" applyAlignment="1">
      <alignment vertical="center"/>
    </xf>
    <xf numFmtId="0" fontId="5" fillId="0" borderId="0" xfId="0" applyFont="1" applyAlignment="1">
      <alignment horizontal="center" vertical="center" wrapText="1"/>
    </xf>
    <xf numFmtId="0" fontId="4" fillId="2" borderId="28" xfId="0" applyFont="1" applyFill="1" applyBorder="1" applyAlignment="1">
      <alignment vertical="center"/>
    </xf>
    <xf numFmtId="0" fontId="4" fillId="0" borderId="0" xfId="0" applyFont="1" applyAlignment="1">
      <alignment vertical="center"/>
    </xf>
    <xf numFmtId="0" fontId="6" fillId="0" borderId="0" xfId="0" applyFont="1" applyBorder="1" applyAlignment="1">
      <alignment horizontal="left" vertical="center"/>
    </xf>
    <xf numFmtId="0" fontId="1" fillId="0" borderId="0" xfId="0" applyFont="1" applyBorder="1" applyAlignment="1">
      <alignment horizontal="left" vertical="center"/>
    </xf>
    <xf numFmtId="0" fontId="8" fillId="3" borderId="2" xfId="0" applyFont="1" applyFill="1" applyBorder="1" applyAlignment="1">
      <alignment horizontal="center" vertical="center" wrapText="1"/>
    </xf>
    <xf numFmtId="0" fontId="8" fillId="3" borderId="4" xfId="0" applyFont="1" applyFill="1" applyBorder="1" applyAlignment="1">
      <alignment horizontal="center" vertical="center"/>
    </xf>
    <xf numFmtId="0" fontId="8" fillId="3" borderId="20" xfId="0" applyFont="1" applyFill="1" applyBorder="1" applyAlignment="1">
      <alignment horizontal="center" vertical="center"/>
    </xf>
    <xf numFmtId="14" fontId="8" fillId="3" borderId="20" xfId="0" applyNumberFormat="1" applyFont="1" applyFill="1" applyBorder="1" applyAlignment="1">
      <alignment horizontal="center" vertical="center"/>
    </xf>
    <xf numFmtId="0" fontId="2" fillId="0" borderId="2" xfId="0" applyFont="1" applyBorder="1" applyAlignment="1">
      <alignment horizontal="center" vertical="center"/>
    </xf>
    <xf numFmtId="0" fontId="6" fillId="0" borderId="2" xfId="0" applyFont="1" applyBorder="1" applyAlignment="1">
      <alignment horizontal="center" vertical="center"/>
    </xf>
    <xf numFmtId="164" fontId="6" fillId="0" borderId="2" xfId="0" applyNumberFormat="1" applyFont="1" applyBorder="1" applyAlignment="1">
      <alignment horizontal="center" vertical="center"/>
    </xf>
    <xf numFmtId="9" fontId="1" fillId="0" borderId="2" xfId="0" applyNumberFormat="1" applyFont="1" applyBorder="1" applyAlignment="1">
      <alignment horizontal="center" vertical="center"/>
    </xf>
    <xf numFmtId="0" fontId="2" fillId="0" borderId="18" xfId="0" applyFont="1" applyBorder="1" applyAlignment="1">
      <alignment horizontal="center" vertical="center"/>
    </xf>
    <xf numFmtId="0" fontId="6" fillId="0" borderId="4" xfId="0" applyFont="1" applyBorder="1" applyAlignment="1">
      <alignment horizontal="center" vertical="center"/>
    </xf>
    <xf numFmtId="164" fontId="6" fillId="0" borderId="4" xfId="0" applyNumberFormat="1" applyFont="1" applyBorder="1" applyAlignment="1">
      <alignment horizontal="center" vertical="center"/>
    </xf>
    <xf numFmtId="9" fontId="1" fillId="0" borderId="4" xfId="0" applyNumberFormat="1" applyFont="1" applyBorder="1" applyAlignment="1">
      <alignment horizontal="center" vertical="center"/>
    </xf>
    <xf numFmtId="0" fontId="2" fillId="0" borderId="32" xfId="0" applyFont="1" applyBorder="1" applyAlignment="1">
      <alignment horizontal="center" vertical="center"/>
    </xf>
    <xf numFmtId="0" fontId="6" fillId="0" borderId="14" xfId="0" applyFont="1" applyBorder="1" applyAlignment="1">
      <alignment horizontal="center" vertical="center"/>
    </xf>
    <xf numFmtId="164" fontId="6" fillId="0" borderId="14" xfId="0" applyNumberFormat="1" applyFont="1" applyBorder="1" applyAlignment="1">
      <alignment horizontal="center" vertical="center"/>
    </xf>
    <xf numFmtId="9" fontId="1" fillId="0" borderId="14" xfId="0" applyNumberFormat="1" applyFont="1" applyBorder="1" applyAlignment="1">
      <alignment horizontal="center" vertical="center"/>
    </xf>
    <xf numFmtId="0" fontId="6" fillId="0" borderId="18" xfId="0" applyFont="1" applyBorder="1" applyAlignment="1">
      <alignment horizontal="left" vertical="center"/>
    </xf>
    <xf numFmtId="0" fontId="6" fillId="0" borderId="18" xfId="0" applyFont="1" applyBorder="1" applyAlignment="1">
      <alignment horizontal="center" vertical="center"/>
    </xf>
    <xf numFmtId="9" fontId="1" fillId="0" borderId="18" xfId="0" applyNumberFormat="1" applyFont="1" applyBorder="1" applyAlignment="1">
      <alignment horizontal="center" vertical="center"/>
    </xf>
    <xf numFmtId="0" fontId="6" fillId="0" borderId="4" xfId="0" applyFont="1" applyBorder="1" applyAlignment="1">
      <alignment horizontal="left" vertical="center"/>
    </xf>
    <xf numFmtId="0" fontId="2" fillId="0" borderId="4" xfId="0" applyFont="1" applyBorder="1"/>
    <xf numFmtId="0" fontId="2" fillId="0" borderId="4" xfId="0" applyFont="1" applyBorder="1" applyAlignment="1">
      <alignment horizontal="center" vertical="center"/>
    </xf>
    <xf numFmtId="0" fontId="15" fillId="0" borderId="4" xfId="0" applyFont="1" applyBorder="1" applyAlignment="1">
      <alignment horizontal="center" vertical="center"/>
    </xf>
    <xf numFmtId="0" fontId="2" fillId="0" borderId="20" xfId="0" applyFont="1" applyBorder="1" applyAlignment="1">
      <alignment horizontal="center" vertical="center"/>
    </xf>
    <xf numFmtId="164" fontId="6" fillId="0" borderId="20" xfId="0" applyNumberFormat="1" applyFont="1" applyBorder="1" applyAlignment="1">
      <alignment horizontal="center" vertical="center"/>
    </xf>
    <xf numFmtId="0" fontId="2" fillId="0" borderId="24" xfId="0" applyFont="1" applyBorder="1" applyAlignment="1">
      <alignment horizontal="center" vertical="center"/>
    </xf>
    <xf numFmtId="164" fontId="6" fillId="0" borderId="33" xfId="0" applyNumberFormat="1" applyFont="1" applyBorder="1" applyAlignment="1">
      <alignment horizontal="center" vertical="center"/>
    </xf>
    <xf numFmtId="9" fontId="1" fillId="0" borderId="24" xfId="0" applyNumberFormat="1" applyFont="1" applyBorder="1" applyAlignment="1">
      <alignment horizontal="center" vertical="center"/>
    </xf>
    <xf numFmtId="0" fontId="2" fillId="0" borderId="0" xfId="0" applyFont="1" applyBorder="1" applyAlignment="1">
      <alignment horizontal="left"/>
    </xf>
    <xf numFmtId="0" fontId="1" fillId="0" borderId="31" xfId="0" applyFont="1" applyBorder="1" applyAlignment="1">
      <alignment vertical="center"/>
    </xf>
    <xf numFmtId="0" fontId="5" fillId="2" borderId="0" xfId="0" applyFont="1" applyFill="1" applyAlignment="1">
      <alignment horizontal="center" vertical="center"/>
    </xf>
    <xf numFmtId="0" fontId="4" fillId="0" borderId="0" xfId="0" applyFont="1" applyAlignment="1">
      <alignment horizontal="left" vertical="center"/>
    </xf>
    <xf numFmtId="0" fontId="4" fillId="0" borderId="31" xfId="0" applyFont="1" applyBorder="1" applyAlignment="1">
      <alignment horizontal="left" vertical="center"/>
    </xf>
    <xf numFmtId="0" fontId="6" fillId="0" borderId="31" xfId="0" applyFont="1" applyBorder="1" applyAlignment="1">
      <alignment horizontal="left" vertical="center" wrapText="1"/>
    </xf>
    <xf numFmtId="0" fontId="4" fillId="0" borderId="28" xfId="0" applyFont="1" applyBorder="1" applyAlignment="1">
      <alignment horizontal="left" vertical="center"/>
    </xf>
    <xf numFmtId="0" fontId="8" fillId="3" borderId="29" xfId="0" applyFont="1" applyFill="1" applyBorder="1" applyAlignment="1">
      <alignment horizontal="center" vertical="center"/>
    </xf>
    <xf numFmtId="0" fontId="8" fillId="3" borderId="34" xfId="0" applyFont="1" applyFill="1" applyBorder="1" applyAlignment="1">
      <alignment horizontal="center" vertical="center"/>
    </xf>
    <xf numFmtId="0" fontId="4" fillId="0" borderId="35" xfId="0" applyFont="1" applyBorder="1" applyAlignment="1">
      <alignment horizontal="center" vertical="center"/>
    </xf>
    <xf numFmtId="9" fontId="1" fillId="0" borderId="33" xfId="0" applyNumberFormat="1" applyFont="1" applyBorder="1" applyAlignment="1">
      <alignment horizontal="center" vertical="center"/>
    </xf>
    <xf numFmtId="9" fontId="1" fillId="0" borderId="36" xfId="0" applyNumberFormat="1" applyFont="1" applyBorder="1" applyAlignment="1">
      <alignment horizontal="center" vertical="center"/>
    </xf>
    <xf numFmtId="9" fontId="1" fillId="5" borderId="25" xfId="1" applyFont="1" applyFill="1" applyBorder="1" applyAlignment="1">
      <alignment horizontal="center" vertical="center"/>
    </xf>
    <xf numFmtId="9" fontId="1" fillId="0" borderId="38" xfId="0" applyNumberFormat="1" applyFont="1" applyBorder="1" applyAlignment="1">
      <alignment horizontal="center" vertical="center"/>
    </xf>
    <xf numFmtId="9" fontId="1" fillId="5" borderId="39" xfId="1" applyFont="1" applyFill="1" applyBorder="1" applyAlignment="1">
      <alignment horizontal="center" vertical="center"/>
    </xf>
    <xf numFmtId="9" fontId="1" fillId="0" borderId="32" xfId="0" applyNumberFormat="1" applyFont="1" applyBorder="1" applyAlignment="1">
      <alignment horizontal="center" vertical="center"/>
    </xf>
    <xf numFmtId="9" fontId="1" fillId="0" borderId="41" xfId="0" applyNumberFormat="1" applyFont="1" applyBorder="1" applyAlignment="1">
      <alignment horizontal="center" vertical="center"/>
    </xf>
    <xf numFmtId="9" fontId="1" fillId="5" borderId="42" xfId="1" applyFont="1" applyFill="1" applyBorder="1" applyAlignment="1">
      <alignment horizontal="center" vertical="center"/>
    </xf>
    <xf numFmtId="9" fontId="1" fillId="0" borderId="42" xfId="1" applyFont="1" applyBorder="1" applyAlignment="1">
      <alignment horizontal="center" vertical="center"/>
    </xf>
    <xf numFmtId="0" fontId="4" fillId="0" borderId="43" xfId="0" applyFont="1" applyBorder="1" applyAlignment="1">
      <alignment horizontal="left" vertical="center" wrapText="1"/>
    </xf>
    <xf numFmtId="0" fontId="4" fillId="0" borderId="43" xfId="0" applyFont="1" applyBorder="1" applyAlignment="1">
      <alignment horizontal="center" vertical="center"/>
    </xf>
    <xf numFmtId="9" fontId="1" fillId="5" borderId="39" xfId="0" applyNumberFormat="1" applyFont="1" applyFill="1" applyBorder="1" applyAlignment="1">
      <alignment horizontal="center" vertical="center"/>
    </xf>
    <xf numFmtId="9" fontId="1" fillId="0" borderId="31" xfId="0" applyNumberFormat="1" applyFont="1" applyBorder="1" applyAlignment="1">
      <alignment horizontal="center" vertical="center"/>
    </xf>
    <xf numFmtId="0" fontId="2" fillId="0" borderId="31" xfId="0" applyFont="1" applyBorder="1"/>
    <xf numFmtId="9" fontId="1" fillId="0" borderId="28" xfId="0" applyNumberFormat="1" applyFont="1" applyBorder="1" applyAlignment="1">
      <alignment horizontal="center" vertical="center"/>
    </xf>
    <xf numFmtId="9" fontId="1" fillId="5" borderId="25" xfId="0" applyNumberFormat="1" applyFont="1" applyFill="1" applyBorder="1" applyAlignment="1">
      <alignment horizontal="center" vertical="center"/>
    </xf>
    <xf numFmtId="9" fontId="1" fillId="0" borderId="26" xfId="0" applyNumberFormat="1" applyFont="1" applyBorder="1" applyAlignment="1">
      <alignment horizontal="center" vertical="center"/>
    </xf>
    <xf numFmtId="2" fontId="2" fillId="0" borderId="31" xfId="0" applyNumberFormat="1" applyFont="1" applyBorder="1" applyAlignment="1">
      <alignment horizontal="center" vertical="center"/>
    </xf>
    <xf numFmtId="9" fontId="1" fillId="5" borderId="42" xfId="0" applyNumberFormat="1" applyFont="1" applyFill="1" applyBorder="1" applyAlignment="1">
      <alignment horizontal="center" vertical="center"/>
    </xf>
    <xf numFmtId="0" fontId="10" fillId="0" borderId="44" xfId="0" applyFont="1" applyBorder="1" applyAlignment="1">
      <alignment horizontal="center" vertical="center"/>
    </xf>
    <xf numFmtId="9" fontId="1" fillId="5" borderId="45" xfId="0" applyNumberFormat="1" applyFont="1" applyFill="1" applyBorder="1" applyAlignment="1">
      <alignment horizontal="center" vertical="center"/>
    </xf>
    <xf numFmtId="0" fontId="10" fillId="4" borderId="26" xfId="0" applyFont="1" applyFill="1" applyBorder="1" applyAlignment="1">
      <alignment horizontal="center" vertical="center"/>
    </xf>
    <xf numFmtId="2" fontId="10" fillId="4" borderId="37" xfId="0" applyNumberFormat="1" applyFont="1" applyFill="1" applyBorder="1" applyAlignment="1">
      <alignment horizontal="center"/>
    </xf>
    <xf numFmtId="0" fontId="2" fillId="0" borderId="31" xfId="0" applyFont="1" applyBorder="1" applyAlignment="1">
      <alignment horizontal="left"/>
    </xf>
    <xf numFmtId="0" fontId="16" fillId="6" borderId="46" xfId="0" applyFont="1" applyFill="1" applyBorder="1" applyAlignment="1">
      <alignment horizontal="center" vertical="center" wrapText="1"/>
    </xf>
    <xf numFmtId="0" fontId="17" fillId="7" borderId="46" xfId="0" applyFont="1" applyFill="1" applyBorder="1" applyAlignment="1">
      <alignment horizontal="center" vertical="center" wrapText="1"/>
    </xf>
    <xf numFmtId="165" fontId="17" fillId="7" borderId="46" xfId="0" applyNumberFormat="1" applyFont="1" applyFill="1" applyBorder="1" applyAlignment="1">
      <alignment horizontal="center" vertical="center" wrapText="1"/>
    </xf>
    <xf numFmtId="9" fontId="17" fillId="7" borderId="46" xfId="0" applyNumberFormat="1" applyFont="1" applyFill="1" applyBorder="1" applyAlignment="1">
      <alignment horizontal="center" vertical="center" wrapText="1"/>
    </xf>
    <xf numFmtId="166" fontId="17" fillId="7" borderId="46" xfId="0" applyNumberFormat="1" applyFont="1" applyFill="1" applyBorder="1" applyAlignment="1">
      <alignment horizontal="center" vertical="center" wrapText="1"/>
    </xf>
    <xf numFmtId="0" fontId="10" fillId="0" borderId="0" xfId="0" applyFont="1" applyBorder="1"/>
    <xf numFmtId="0" fontId="2" fillId="0" borderId="6" xfId="0" applyFont="1" applyBorder="1"/>
    <xf numFmtId="0" fontId="19" fillId="0" borderId="7" xfId="0" applyFont="1" applyBorder="1" applyAlignment="1">
      <alignment horizontal="center"/>
    </xf>
    <xf numFmtId="0" fontId="19" fillId="0" borderId="7" xfId="0" applyFont="1" applyBorder="1"/>
    <xf numFmtId="0" fontId="19" fillId="0" borderId="0" xfId="0" applyFont="1" applyBorder="1" applyAlignment="1">
      <alignment wrapText="1"/>
    </xf>
    <xf numFmtId="0" fontId="2" fillId="0" borderId="7" xfId="0" applyFont="1" applyBorder="1"/>
    <xf numFmtId="0" fontId="2" fillId="0" borderId="28" xfId="0" applyFont="1" applyBorder="1"/>
    <xf numFmtId="0" fontId="1" fillId="0" borderId="19" xfId="0" applyFont="1" applyBorder="1" applyAlignment="1">
      <alignment horizontal="center" vertical="center" wrapText="1"/>
    </xf>
    <xf numFmtId="164" fontId="6" fillId="0" borderId="18" xfId="0" applyNumberFormat="1" applyFont="1" applyBorder="1" applyAlignment="1">
      <alignment horizontal="center" vertical="center"/>
    </xf>
    <xf numFmtId="0" fontId="6" fillId="0" borderId="20" xfId="0" applyFont="1" applyBorder="1" applyAlignment="1">
      <alignment horizontal="center" vertical="center"/>
    </xf>
    <xf numFmtId="49" fontId="4" fillId="2" borderId="0" xfId="0" applyNumberFormat="1" applyFont="1" applyFill="1" applyAlignment="1">
      <alignment vertical="center"/>
    </xf>
    <xf numFmtId="49" fontId="5" fillId="2" borderId="0" xfId="0" applyNumberFormat="1" applyFont="1" applyFill="1" applyAlignment="1">
      <alignment vertical="center"/>
    </xf>
    <xf numFmtId="0" fontId="1" fillId="0" borderId="55" xfId="0" applyFont="1" applyBorder="1" applyAlignment="1">
      <alignment vertical="center"/>
    </xf>
    <xf numFmtId="0" fontId="4" fillId="0" borderId="56" xfId="0" applyFont="1" applyBorder="1" applyAlignment="1">
      <alignment horizontal="center" vertical="center"/>
    </xf>
    <xf numFmtId="9" fontId="1" fillId="0" borderId="53" xfId="0" applyNumberFormat="1" applyFont="1" applyBorder="1" applyAlignment="1">
      <alignment horizontal="center" vertical="center"/>
    </xf>
    <xf numFmtId="9" fontId="1" fillId="0" borderId="25" xfId="1" applyFont="1" applyBorder="1" applyAlignment="1">
      <alignment horizontal="center" vertical="center"/>
    </xf>
    <xf numFmtId="9" fontId="1" fillId="0" borderId="39" xfId="1" applyFont="1" applyBorder="1" applyAlignment="1">
      <alignment horizontal="center" vertical="center"/>
    </xf>
    <xf numFmtId="0" fontId="4" fillId="0" borderId="31" xfId="0" applyFont="1" applyBorder="1" applyAlignment="1">
      <alignment horizontal="center" vertical="center"/>
    </xf>
    <xf numFmtId="9" fontId="1" fillId="0" borderId="25" xfId="0" applyNumberFormat="1" applyFont="1" applyBorder="1" applyAlignment="1">
      <alignment horizontal="center" vertical="center"/>
    </xf>
    <xf numFmtId="9" fontId="1" fillId="0" borderId="39" xfId="0" applyNumberFormat="1" applyFont="1" applyBorder="1" applyAlignment="1">
      <alignment horizontal="center" vertical="center"/>
    </xf>
    <xf numFmtId="9" fontId="1" fillId="0" borderId="42" xfId="0" applyNumberFormat="1" applyFont="1" applyBorder="1" applyAlignment="1">
      <alignment horizontal="center" vertical="center"/>
    </xf>
    <xf numFmtId="9" fontId="1" fillId="0" borderId="49" xfId="0" applyNumberFormat="1" applyFont="1" applyBorder="1" applyAlignment="1">
      <alignment horizontal="center" vertical="center"/>
    </xf>
    <xf numFmtId="9" fontId="1" fillId="0" borderId="45" xfId="0" applyNumberFormat="1" applyFont="1" applyBorder="1" applyAlignment="1">
      <alignment horizontal="center" vertical="center"/>
    </xf>
    <xf numFmtId="0" fontId="10" fillId="4" borderId="45" xfId="0" applyFont="1" applyFill="1" applyBorder="1" applyAlignment="1">
      <alignment horizontal="center"/>
    </xf>
    <xf numFmtId="0" fontId="2" fillId="0" borderId="31" xfId="0" applyFont="1" applyBorder="1" applyAlignment="1">
      <alignment horizontal="center" vertical="center"/>
    </xf>
    <xf numFmtId="0" fontId="10" fillId="4" borderId="37" xfId="0" applyFont="1" applyFill="1" applyBorder="1" applyAlignment="1">
      <alignment horizontal="center"/>
    </xf>
    <xf numFmtId="0" fontId="8" fillId="3" borderId="15" xfId="0" applyFont="1" applyFill="1" applyBorder="1" applyAlignment="1">
      <alignment horizontal="center" vertical="center"/>
    </xf>
    <xf numFmtId="0" fontId="8" fillId="3" borderId="16" xfId="0" applyFont="1" applyFill="1" applyBorder="1" applyAlignment="1">
      <alignment horizontal="center" vertical="center"/>
    </xf>
    <xf numFmtId="0" fontId="4" fillId="3" borderId="17" xfId="0" applyFont="1" applyFill="1" applyBorder="1" applyAlignment="1">
      <alignment horizontal="left" vertical="center" wrapText="1"/>
    </xf>
    <xf numFmtId="0" fontId="8" fillId="3" borderId="22" xfId="0" applyFont="1" applyFill="1" applyBorder="1" applyAlignment="1">
      <alignment horizontal="center" vertical="center" wrapText="1"/>
    </xf>
    <xf numFmtId="0" fontId="8" fillId="3" borderId="18" xfId="0" applyFont="1" applyFill="1" applyBorder="1" applyAlignment="1">
      <alignment horizontal="center" vertical="center"/>
    </xf>
    <xf numFmtId="0" fontId="8" fillId="3" borderId="24" xfId="0" applyFont="1" applyFill="1" applyBorder="1" applyAlignment="1">
      <alignment horizontal="center" vertical="center"/>
    </xf>
    <xf numFmtId="14" fontId="8" fillId="3" borderId="24" xfId="0" applyNumberFormat="1" applyFont="1" applyFill="1" applyBorder="1" applyAlignment="1">
      <alignment horizontal="center" vertical="center"/>
    </xf>
    <xf numFmtId="0" fontId="8" fillId="3" borderId="44" xfId="0" applyFont="1" applyFill="1" applyBorder="1" applyAlignment="1">
      <alignment horizontal="center" vertical="center"/>
    </xf>
    <xf numFmtId="0" fontId="8" fillId="3" borderId="57" xfId="0" applyFont="1" applyFill="1" applyBorder="1" applyAlignment="1">
      <alignment horizontal="center" vertical="center"/>
    </xf>
    <xf numFmtId="0" fontId="13" fillId="0" borderId="9" xfId="0" applyFont="1" applyBorder="1" applyAlignment="1">
      <alignment horizontal="left" vertical="center" wrapText="1"/>
    </xf>
    <xf numFmtId="0" fontId="13" fillId="0" borderId="26" xfId="0" applyFont="1" applyBorder="1" applyAlignment="1">
      <alignment horizontal="left" vertical="center" wrapText="1"/>
    </xf>
    <xf numFmtId="0" fontId="13" fillId="0" borderId="0" xfId="0" applyFont="1" applyAlignment="1">
      <alignment horizontal="left" vertical="center" wrapText="1"/>
    </xf>
    <xf numFmtId="0" fontId="13" fillId="0" borderId="31" xfId="0" applyFont="1" applyBorder="1" applyAlignment="1">
      <alignment horizontal="left" vertical="center" wrapText="1"/>
    </xf>
    <xf numFmtId="0" fontId="13" fillId="0" borderId="51" xfId="0" applyFont="1" applyBorder="1" applyAlignment="1">
      <alignment horizontal="left" vertical="center" wrapText="1"/>
    </xf>
    <xf numFmtId="0" fontId="13" fillId="0" borderId="54" xfId="0" applyFont="1" applyBorder="1" applyAlignment="1">
      <alignment horizontal="left" vertical="center" wrapText="1"/>
    </xf>
    <xf numFmtId="0" fontId="1" fillId="0" borderId="9" xfId="0" applyFont="1" applyBorder="1" applyAlignment="1">
      <alignment horizontal="left" vertical="center" wrapText="1"/>
    </xf>
    <xf numFmtId="0" fontId="1" fillId="0" borderId="9" xfId="0" applyFont="1" applyBorder="1" applyAlignment="1">
      <alignment horizontal="left" vertical="center"/>
    </xf>
    <xf numFmtId="0" fontId="1" fillId="0" borderId="26" xfId="0" applyFont="1" applyBorder="1" applyAlignment="1">
      <alignment horizontal="left" vertical="center"/>
    </xf>
    <xf numFmtId="0" fontId="1" fillId="0" borderId="0" xfId="0" applyFont="1" applyAlignment="1">
      <alignment horizontal="left" vertical="center"/>
    </xf>
    <xf numFmtId="0" fontId="1" fillId="0" borderId="31" xfId="0" applyFont="1" applyBorder="1" applyAlignment="1">
      <alignment horizontal="left"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47" xfId="0" applyFont="1" applyBorder="1" applyAlignment="1">
      <alignment horizontal="center" vertical="center"/>
    </xf>
    <xf numFmtId="0" fontId="1" fillId="0" borderId="5" xfId="0" applyFont="1" applyBorder="1" applyAlignment="1">
      <alignment horizontal="center" vertical="center"/>
    </xf>
    <xf numFmtId="0" fontId="1" fillId="0" borderId="0" xfId="0" applyFont="1" applyAlignment="1">
      <alignment horizontal="center" vertical="center"/>
    </xf>
    <xf numFmtId="0" fontId="1" fillId="0" borderId="48" xfId="0" applyFont="1" applyBorder="1" applyAlignment="1">
      <alignment horizontal="center" vertical="center"/>
    </xf>
    <xf numFmtId="0" fontId="1" fillId="0" borderId="50" xfId="0" applyFont="1" applyBorder="1" applyAlignment="1">
      <alignment horizontal="center" vertical="center"/>
    </xf>
    <xf numFmtId="0" fontId="1" fillId="0" borderId="51" xfId="0" applyFont="1" applyBorder="1" applyAlignment="1">
      <alignment horizontal="center" vertical="center"/>
    </xf>
    <xf numFmtId="0" fontId="1" fillId="0" borderId="52" xfId="0" applyFont="1" applyBorder="1" applyAlignment="1">
      <alignment horizontal="center" vertical="center"/>
    </xf>
    <xf numFmtId="0" fontId="3" fillId="0" borderId="36" xfId="0" applyFont="1" applyBorder="1" applyAlignment="1">
      <alignment horizontal="center" vertical="center" wrapText="1"/>
    </xf>
    <xf numFmtId="0" fontId="3" fillId="0" borderId="9" xfId="0" applyFont="1" applyBorder="1" applyAlignment="1">
      <alignment horizontal="center" vertical="center" wrapText="1"/>
    </xf>
    <xf numFmtId="0" fontId="3" fillId="0" borderId="47" xfId="0" applyFont="1" applyBorder="1" applyAlignment="1">
      <alignment horizontal="center" vertical="center" wrapText="1"/>
    </xf>
    <xf numFmtId="0" fontId="3" fillId="0" borderId="49" xfId="0" applyFont="1" applyBorder="1" applyAlignment="1">
      <alignment horizontal="center" vertical="center" wrapText="1"/>
    </xf>
    <xf numFmtId="0" fontId="3" fillId="0" borderId="0" xfId="0" applyFont="1" applyAlignment="1">
      <alignment horizontal="center" vertical="center" wrapText="1"/>
    </xf>
    <xf numFmtId="0" fontId="3" fillId="0" borderId="48" xfId="0" applyFont="1" applyBorder="1" applyAlignment="1">
      <alignment horizontal="center" vertical="center" wrapText="1"/>
    </xf>
    <xf numFmtId="0" fontId="3" fillId="0" borderId="53" xfId="0" applyFont="1" applyBorder="1" applyAlignment="1">
      <alignment horizontal="center" vertical="center" wrapText="1"/>
    </xf>
    <xf numFmtId="0" fontId="3" fillId="0" borderId="51" xfId="0" applyFont="1" applyBorder="1" applyAlignment="1">
      <alignment horizontal="center" vertical="center" wrapText="1"/>
    </xf>
    <xf numFmtId="0" fontId="3" fillId="0" borderId="52" xfId="0" applyFont="1" applyBorder="1" applyAlignment="1">
      <alignment horizontal="center"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7" fillId="0" borderId="26" xfId="0" applyFont="1" applyBorder="1" applyAlignment="1">
      <alignment horizontal="left" vertical="center" wrapText="1"/>
    </xf>
    <xf numFmtId="0" fontId="7" fillId="0" borderId="6" xfId="0" applyFont="1" applyBorder="1" applyAlignment="1">
      <alignment horizontal="left" vertical="center" wrapText="1"/>
    </xf>
    <xf numFmtId="0" fontId="7" fillId="0" borderId="7" xfId="0" applyFont="1" applyBorder="1" applyAlignment="1">
      <alignment horizontal="left" vertical="center" wrapText="1"/>
    </xf>
    <xf numFmtId="0" fontId="7" fillId="0" borderId="28" xfId="0" applyFont="1" applyBorder="1" applyAlignment="1">
      <alignment horizontal="left" vertical="center" wrapText="1"/>
    </xf>
    <xf numFmtId="0" fontId="20" fillId="0" borderId="8" xfId="0" applyFont="1" applyBorder="1" applyAlignment="1">
      <alignment horizontal="center" vertical="center" wrapText="1"/>
    </xf>
    <xf numFmtId="0" fontId="20" fillId="0" borderId="26" xfId="0" applyFont="1" applyBorder="1" applyAlignment="1">
      <alignment horizontal="center" vertical="center" wrapText="1"/>
    </xf>
    <xf numFmtId="0" fontId="20" fillId="0" borderId="6" xfId="0" applyFont="1" applyBorder="1" applyAlignment="1">
      <alignment horizontal="center" vertical="center" wrapText="1"/>
    </xf>
    <xf numFmtId="0" fontId="20" fillId="0" borderId="28" xfId="0" applyFont="1" applyBorder="1" applyAlignment="1">
      <alignment horizontal="center" vertical="center" wrapText="1"/>
    </xf>
    <xf numFmtId="0" fontId="7" fillId="0" borderId="4" xfId="0" applyFont="1" applyBorder="1" applyAlignment="1">
      <alignment horizontal="left" vertical="center"/>
    </xf>
    <xf numFmtId="0" fontId="7" fillId="0" borderId="4" xfId="0" applyFont="1" applyBorder="1" applyAlignment="1">
      <alignment horizontal="left" vertical="center" wrapText="1"/>
    </xf>
    <xf numFmtId="0" fontId="7" fillId="0" borderId="20" xfId="0" applyFont="1" applyBorder="1" applyAlignment="1">
      <alignment horizontal="left" vertical="center" wrapText="1"/>
    </xf>
    <xf numFmtId="0" fontId="19" fillId="0" borderId="7" xfId="0" applyFont="1" applyBorder="1" applyAlignment="1">
      <alignment horizont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2" fontId="1" fillId="0" borderId="35" xfId="0" applyNumberFormat="1" applyFont="1" applyBorder="1" applyAlignment="1">
      <alignment horizontal="center" vertical="center" wrapText="1"/>
    </xf>
    <xf numFmtId="2" fontId="1" fillId="0" borderId="31" xfId="0" applyNumberFormat="1" applyFont="1" applyBorder="1" applyAlignment="1">
      <alignment horizontal="center" vertical="center" wrapText="1"/>
    </xf>
    <xf numFmtId="2" fontId="1" fillId="0" borderId="54" xfId="0" applyNumberFormat="1" applyFont="1" applyBorder="1" applyAlignment="1">
      <alignment horizontal="center" vertical="center" wrapText="1"/>
    </xf>
    <xf numFmtId="2" fontId="1" fillId="0" borderId="28" xfId="0" applyNumberFormat="1" applyFont="1" applyBorder="1" applyAlignment="1">
      <alignment horizontal="center" vertical="center" wrapText="1"/>
    </xf>
    <xf numFmtId="2" fontId="2" fillId="0" borderId="26" xfId="0" applyNumberFormat="1" applyFont="1" applyBorder="1" applyAlignment="1">
      <alignment horizontal="center" vertical="center"/>
    </xf>
    <xf numFmtId="2" fontId="2" fillId="0" borderId="31" xfId="0" applyNumberFormat="1" applyFont="1" applyBorder="1" applyAlignment="1">
      <alignment horizontal="center" vertical="center"/>
    </xf>
    <xf numFmtId="0" fontId="2" fillId="0" borderId="0" xfId="0" applyFont="1" applyBorder="1"/>
    <xf numFmtId="0" fontId="18" fillId="0" borderId="0" xfId="0" applyFont="1" applyBorder="1" applyAlignment="1">
      <alignment horizontal="left" wrapText="1"/>
    </xf>
    <xf numFmtId="0" fontId="18" fillId="0" borderId="0" xfId="0" applyFont="1" applyBorder="1" applyAlignment="1">
      <alignment horizontal="left"/>
    </xf>
    <xf numFmtId="0" fontId="7" fillId="0" borderId="0" xfId="0" applyFont="1" applyBorder="1" applyAlignment="1">
      <alignment horizontal="left" wrapText="1"/>
    </xf>
    <xf numFmtId="0" fontId="9" fillId="0" borderId="15" xfId="0" applyFont="1" applyBorder="1" applyAlignment="1">
      <alignment horizontal="left" vertical="center"/>
    </xf>
    <xf numFmtId="0" fontId="9" fillId="0" borderId="16" xfId="0" applyFont="1" applyBorder="1" applyAlignment="1">
      <alignment horizontal="left" vertical="center"/>
    </xf>
    <xf numFmtId="0" fontId="7" fillId="0" borderId="24" xfId="0" applyFont="1" applyBorder="1" applyAlignment="1">
      <alignment horizontal="left" vertical="center" wrapText="1"/>
    </xf>
    <xf numFmtId="0" fontId="10" fillId="4" borderId="8" xfId="0" applyFont="1" applyFill="1" applyBorder="1" applyAlignment="1">
      <alignment horizontal="center" vertical="center"/>
    </xf>
    <xf numFmtId="0" fontId="10" fillId="4" borderId="9" xfId="0" applyFont="1" applyFill="1" applyBorder="1" applyAlignment="1">
      <alignment horizontal="center" vertical="center"/>
    </xf>
    <xf numFmtId="0" fontId="10" fillId="4" borderId="26" xfId="0" applyFont="1" applyFill="1" applyBorder="1" applyAlignment="1">
      <alignment horizontal="center" vertical="center"/>
    </xf>
    <xf numFmtId="0" fontId="7" fillId="0" borderId="0" xfId="0" applyFont="1" applyBorder="1" applyAlignment="1">
      <alignment horizontal="left"/>
    </xf>
    <xf numFmtId="0" fontId="2" fillId="0" borderId="0" xfId="0" applyFont="1" applyBorder="1" applyAlignment="1">
      <alignment horizontal="center"/>
    </xf>
    <xf numFmtId="0" fontId="9" fillId="0" borderId="21" xfId="0" applyFont="1" applyBorder="1" applyAlignment="1">
      <alignment horizontal="left" vertical="center"/>
    </xf>
    <xf numFmtId="0" fontId="9" fillId="0" borderId="22" xfId="0" applyFont="1" applyBorder="1" applyAlignment="1">
      <alignment horizontal="left" vertical="center"/>
    </xf>
    <xf numFmtId="0" fontId="7" fillId="0" borderId="18" xfId="0" applyFont="1" applyBorder="1" applyAlignment="1">
      <alignment horizontal="left" vertical="center" wrapText="1"/>
    </xf>
    <xf numFmtId="0" fontId="4" fillId="0" borderId="15" xfId="0" applyFont="1" applyBorder="1" applyAlignment="1">
      <alignment horizontal="left" vertical="center" wrapText="1"/>
    </xf>
    <xf numFmtId="0" fontId="4" fillId="0" borderId="16" xfId="0" applyFont="1" applyBorder="1" applyAlignment="1">
      <alignment horizontal="left" vertical="center" wrapText="1"/>
    </xf>
    <xf numFmtId="0" fontId="4" fillId="0" borderId="43" xfId="0" applyFont="1" applyBorder="1" applyAlignment="1">
      <alignment horizontal="left" vertical="center" wrapText="1"/>
    </xf>
    <xf numFmtId="0" fontId="1" fillId="0" borderId="5" xfId="0" applyFont="1" applyBorder="1" applyAlignment="1">
      <alignment horizontal="left" vertical="center" wrapText="1"/>
    </xf>
    <xf numFmtId="0" fontId="1" fillId="0" borderId="0" xfId="0" applyFont="1" applyAlignment="1">
      <alignment horizontal="left" vertical="center" wrapText="1"/>
    </xf>
    <xf numFmtId="14" fontId="6" fillId="0" borderId="0" xfId="0" applyNumberFormat="1" applyFont="1" applyAlignment="1">
      <alignment horizontal="left" vertical="center"/>
    </xf>
    <xf numFmtId="0" fontId="6" fillId="0" borderId="0" xfId="0" applyFont="1" applyAlignment="1">
      <alignment horizontal="left" vertical="center"/>
    </xf>
    <xf numFmtId="0" fontId="3" fillId="3" borderId="18" xfId="0" applyFont="1" applyFill="1" applyBorder="1" applyAlignment="1">
      <alignment horizontal="center" vertical="center" wrapText="1"/>
    </xf>
    <xf numFmtId="0" fontId="4" fillId="0" borderId="6" xfId="0" applyFont="1" applyBorder="1" applyAlignment="1">
      <alignment horizontal="left" vertical="center"/>
    </xf>
    <xf numFmtId="0" fontId="4" fillId="0" borderId="7" xfId="0" applyFont="1" applyBorder="1" applyAlignment="1">
      <alignment horizontal="left" vertical="center"/>
    </xf>
    <xf numFmtId="0" fontId="4" fillId="0" borderId="16" xfId="0" applyFont="1" applyBorder="1" applyAlignment="1">
      <alignment horizontal="left" vertical="center"/>
    </xf>
    <xf numFmtId="0" fontId="4" fillId="0" borderId="43" xfId="0" applyFont="1" applyBorder="1" applyAlignment="1">
      <alignment horizontal="left" vertical="center"/>
    </xf>
    <xf numFmtId="0" fontId="1" fillId="0" borderId="5" xfId="0" applyFont="1" applyBorder="1" applyAlignment="1">
      <alignment vertical="center"/>
    </xf>
    <xf numFmtId="0" fontId="1" fillId="0" borderId="0" xfId="0" applyFont="1" applyAlignment="1">
      <alignment vertical="center"/>
    </xf>
    <xf numFmtId="0" fontId="6" fillId="0" borderId="0" xfId="0" applyFont="1" applyAlignment="1">
      <alignment horizontal="left" vertical="center" wrapText="1"/>
    </xf>
    <xf numFmtId="0" fontId="14" fillId="0" borderId="0" xfId="0" applyFont="1" applyAlignment="1">
      <alignment horizontal="center" vertical="center" wrapText="1"/>
    </xf>
    <xf numFmtId="0" fontId="7" fillId="0" borderId="5" xfId="0" applyFont="1" applyBorder="1" applyAlignment="1">
      <alignment vertical="center"/>
    </xf>
    <xf numFmtId="0" fontId="7" fillId="0" borderId="0" xfId="0" applyFont="1" applyAlignment="1">
      <alignment vertical="center"/>
    </xf>
    <xf numFmtId="0" fontId="5" fillId="0" borderId="0" xfId="0" applyFont="1" applyAlignment="1">
      <alignment horizontal="center" vertical="center" wrapText="1"/>
    </xf>
    <xf numFmtId="0" fontId="5" fillId="2" borderId="0" xfId="0" applyFont="1" applyFill="1" applyAlignment="1">
      <alignment horizontal="center" vertical="center"/>
    </xf>
    <xf numFmtId="0" fontId="4" fillId="0" borderId="5" xfId="0" applyFont="1" applyBorder="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14" fontId="4" fillId="0" borderId="0" xfId="0" applyNumberFormat="1" applyFont="1" applyAlignment="1">
      <alignment horizontal="center" vertical="center" wrapText="1"/>
    </xf>
    <xf numFmtId="14" fontId="1" fillId="0" borderId="0" xfId="0" applyNumberFormat="1" applyFont="1" applyAlignment="1">
      <alignment horizontal="center" vertical="center"/>
    </xf>
    <xf numFmtId="14" fontId="1" fillId="0" borderId="31" xfId="0" applyNumberFormat="1" applyFont="1" applyBorder="1" applyAlignment="1">
      <alignment horizontal="center" vertical="center"/>
    </xf>
    <xf numFmtId="0" fontId="23" fillId="0" borderId="8" xfId="0" applyFont="1" applyBorder="1" applyAlignment="1">
      <alignment horizontal="left" vertical="center" wrapText="1"/>
    </xf>
    <xf numFmtId="0" fontId="11" fillId="0" borderId="8" xfId="0" applyFont="1" applyBorder="1" applyAlignment="1">
      <alignment horizontal="center" vertical="center" wrapText="1"/>
    </xf>
    <xf numFmtId="0" fontId="11" fillId="0" borderId="26"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28" xfId="0" applyFont="1" applyBorder="1" applyAlignment="1">
      <alignment horizontal="center" vertical="center" wrapText="1"/>
    </xf>
    <xf numFmtId="0" fontId="3" fillId="3" borderId="4" xfId="0" applyFont="1" applyFill="1" applyBorder="1" applyAlignment="1">
      <alignment horizontal="center" vertical="center" wrapText="1"/>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7" fillId="0" borderId="26"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28" xfId="0" applyFont="1" applyBorder="1" applyAlignment="1">
      <alignment horizontal="center" vertical="center" wrapText="1"/>
    </xf>
    <xf numFmtId="1" fontId="1" fillId="0" borderId="35" xfId="0" applyNumberFormat="1" applyFont="1" applyBorder="1" applyAlignment="1">
      <alignment horizontal="center" vertical="center" wrapText="1"/>
    </xf>
    <xf numFmtId="1" fontId="1" fillId="0" borderId="31" xfId="0" applyNumberFormat="1" applyFont="1" applyBorder="1" applyAlignment="1">
      <alignment horizontal="center" vertical="center" wrapText="1"/>
    </xf>
    <xf numFmtId="1" fontId="1" fillId="0" borderId="54" xfId="0" applyNumberFormat="1" applyFont="1" applyBorder="1" applyAlignment="1">
      <alignment horizontal="center" vertical="center" wrapText="1"/>
    </xf>
    <xf numFmtId="1" fontId="1" fillId="0" borderId="28" xfId="0" applyNumberFormat="1" applyFont="1" applyBorder="1" applyAlignment="1">
      <alignment horizontal="center" vertical="center" wrapText="1"/>
    </xf>
    <xf numFmtId="0" fontId="2" fillId="0" borderId="26" xfId="0" applyFont="1" applyBorder="1" applyAlignment="1">
      <alignment horizontal="center" vertical="center"/>
    </xf>
    <xf numFmtId="0" fontId="2" fillId="0" borderId="31" xfId="0" applyFont="1" applyBorder="1" applyAlignment="1">
      <alignment horizontal="center" vertical="center"/>
    </xf>
    <xf numFmtId="0" fontId="10" fillId="4" borderId="16" xfId="0" applyFont="1" applyFill="1" applyBorder="1" applyAlignment="1">
      <alignment horizontal="center" vertical="center"/>
    </xf>
    <xf numFmtId="0" fontId="10" fillId="4" borderId="43" xfId="0" applyFont="1" applyFill="1" applyBorder="1" applyAlignment="1">
      <alignment horizontal="center" vertical="center"/>
    </xf>
    <xf numFmtId="0" fontId="7" fillId="0" borderId="25" xfId="0" applyFont="1" applyBorder="1" applyAlignment="1">
      <alignment horizontal="center" vertical="center"/>
    </xf>
    <xf numFmtId="0" fontId="7" fillId="0" borderId="27" xfId="0" applyFont="1" applyBorder="1" applyAlignment="1">
      <alignment horizontal="center" vertical="center"/>
    </xf>
    <xf numFmtId="2" fontId="1" fillId="0" borderId="26" xfId="0" applyNumberFormat="1" applyFont="1" applyBorder="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13" fillId="0" borderId="2" xfId="0" applyFont="1" applyBorder="1" applyAlignment="1">
      <alignment horizontal="left" vertical="center" wrapText="1"/>
    </xf>
    <xf numFmtId="0" fontId="13" fillId="0" borderId="29" xfId="0" applyFont="1" applyBorder="1" applyAlignment="1">
      <alignment horizontal="left" vertical="center" wrapText="1"/>
    </xf>
    <xf numFmtId="0" fontId="13" fillId="0" borderId="4" xfId="0" applyFont="1" applyBorder="1" applyAlignment="1">
      <alignment horizontal="left" vertical="center" wrapText="1"/>
    </xf>
    <xf numFmtId="0" fontId="13" fillId="0" borderId="30" xfId="0" applyFont="1" applyBorder="1" applyAlignment="1">
      <alignment horizontal="left" vertical="center" wrapText="1"/>
    </xf>
    <xf numFmtId="0" fontId="8" fillId="3" borderId="33" xfId="0" applyFont="1" applyFill="1" applyBorder="1" applyAlignment="1">
      <alignment horizontal="center" vertical="center" wrapText="1"/>
    </xf>
    <xf numFmtId="0" fontId="8" fillId="3" borderId="24" xfId="0" applyFont="1" applyFill="1" applyBorder="1" applyAlignment="1">
      <alignment horizontal="center" vertical="center" wrapText="1"/>
    </xf>
    <xf numFmtId="9" fontId="1" fillId="0" borderId="37" xfId="1" applyFont="1" applyBorder="1" applyAlignment="1">
      <alignment horizontal="center" vertical="center"/>
    </xf>
    <xf numFmtId="9" fontId="1" fillId="0" borderId="40" xfId="1" applyFont="1" applyBorder="1" applyAlignment="1">
      <alignment horizontal="center" vertical="center"/>
    </xf>
    <xf numFmtId="9" fontId="1" fillId="0" borderId="42" xfId="1" applyFont="1" applyBorder="1" applyAlignment="1">
      <alignment horizontal="center" vertical="center"/>
    </xf>
    <xf numFmtId="0" fontId="11" fillId="0" borderId="9" xfId="0" applyFont="1" applyBorder="1" applyAlignment="1">
      <alignment horizontal="center" vertical="center" wrapText="1"/>
    </xf>
    <xf numFmtId="0" fontId="11" fillId="0" borderId="7" xfId="0" applyFont="1" applyBorder="1" applyAlignment="1">
      <alignment horizontal="center" vertical="center" wrapText="1"/>
    </xf>
    <xf numFmtId="0" fontId="7" fillId="0" borderId="3" xfId="0" applyFont="1" applyBorder="1" applyAlignment="1">
      <alignment horizontal="left" vertical="center" wrapText="1"/>
    </xf>
    <xf numFmtId="0" fontId="7" fillId="0" borderId="13" xfId="0" applyFont="1" applyBorder="1" applyAlignment="1">
      <alignment horizontal="left" vertical="center" wrapText="1"/>
    </xf>
    <xf numFmtId="0" fontId="7" fillId="0" borderId="14" xfId="0" applyFont="1" applyBorder="1" applyAlignment="1">
      <alignment horizontal="left" vertical="center" wrapText="1"/>
    </xf>
    <xf numFmtId="0" fontId="4" fillId="0" borderId="5" xfId="0" applyFont="1" applyBorder="1" applyAlignment="1">
      <alignment horizontal="left" vertical="center"/>
    </xf>
    <xf numFmtId="0" fontId="4" fillId="0" borderId="0" xfId="0" applyFont="1" applyBorder="1" applyAlignment="1">
      <alignment horizontal="left" vertical="center"/>
    </xf>
    <xf numFmtId="0" fontId="4" fillId="0" borderId="9" xfId="0" applyFont="1" applyBorder="1" applyAlignment="1">
      <alignment horizontal="left" vertical="center"/>
    </xf>
    <xf numFmtId="0" fontId="4" fillId="0" borderId="26" xfId="0" applyFont="1" applyBorder="1" applyAlignment="1">
      <alignment horizontal="left" vertical="center"/>
    </xf>
    <xf numFmtId="0" fontId="7" fillId="0" borderId="1" xfId="0" applyFont="1" applyBorder="1" applyAlignment="1">
      <alignment horizontal="left" vertical="center" wrapText="1"/>
    </xf>
    <xf numFmtId="0" fontId="7" fillId="0" borderId="2" xfId="0" applyFont="1" applyBorder="1" applyAlignment="1">
      <alignment horizontal="left"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57979</xdr:colOff>
      <xdr:row>0</xdr:row>
      <xdr:rowOff>45210</xdr:rowOff>
    </xdr:from>
    <xdr:to>
      <xdr:col>2</xdr:col>
      <xdr:colOff>829640</xdr:colOff>
      <xdr:row>2</xdr:row>
      <xdr:rowOff>207066</xdr:rowOff>
    </xdr:to>
    <xdr:pic>
      <xdr:nvPicPr>
        <xdr:cNvPr id="2" name="4 Imagen" descr="logo findeter horizontal 2019">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l="6579"/>
        <a:stretch>
          <a:fillRect/>
        </a:stretch>
      </xdr:blipFill>
      <xdr:spPr>
        <a:xfrm>
          <a:off x="57785" y="45085"/>
          <a:ext cx="1812925" cy="72072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57979</xdr:colOff>
      <xdr:row>0</xdr:row>
      <xdr:rowOff>45210</xdr:rowOff>
    </xdr:from>
    <xdr:to>
      <xdr:col>2</xdr:col>
      <xdr:colOff>829640</xdr:colOff>
      <xdr:row>2</xdr:row>
      <xdr:rowOff>207066</xdr:rowOff>
    </xdr:to>
    <xdr:pic>
      <xdr:nvPicPr>
        <xdr:cNvPr id="5" name="4 Imagen" descr="logo findeter horizontal 2019">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l="6579"/>
        <a:stretch>
          <a:fillRect/>
        </a:stretch>
      </xdr:blipFill>
      <xdr:spPr>
        <a:xfrm>
          <a:off x="57785" y="45085"/>
          <a:ext cx="1812925" cy="720725"/>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57979</xdr:colOff>
      <xdr:row>0</xdr:row>
      <xdr:rowOff>45210</xdr:rowOff>
    </xdr:from>
    <xdr:to>
      <xdr:col>2</xdr:col>
      <xdr:colOff>829640</xdr:colOff>
      <xdr:row>2</xdr:row>
      <xdr:rowOff>207066</xdr:rowOff>
    </xdr:to>
    <xdr:pic>
      <xdr:nvPicPr>
        <xdr:cNvPr id="2" name="4 Imagen" descr="logo findeter horizontal 2019">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l="6579"/>
        <a:stretch>
          <a:fillRect/>
        </a:stretch>
      </xdr:blipFill>
      <xdr:spPr>
        <a:xfrm>
          <a:off x="57785" y="45085"/>
          <a:ext cx="1812925" cy="720725"/>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57979</xdr:colOff>
      <xdr:row>0</xdr:row>
      <xdr:rowOff>45210</xdr:rowOff>
    </xdr:from>
    <xdr:to>
      <xdr:col>2</xdr:col>
      <xdr:colOff>829640</xdr:colOff>
      <xdr:row>2</xdr:row>
      <xdr:rowOff>207066</xdr:rowOff>
    </xdr:to>
    <xdr:pic>
      <xdr:nvPicPr>
        <xdr:cNvPr id="2" name="4 Imagen" descr="logo findeter horizontal 2019">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l="6579"/>
        <a:stretch>
          <a:fillRect/>
        </a:stretch>
      </xdr:blipFill>
      <xdr:spPr>
        <a:xfrm>
          <a:off x="57785" y="45085"/>
          <a:ext cx="1812925" cy="720725"/>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57979</xdr:colOff>
      <xdr:row>0</xdr:row>
      <xdr:rowOff>45210</xdr:rowOff>
    </xdr:from>
    <xdr:to>
      <xdr:col>2</xdr:col>
      <xdr:colOff>829640</xdr:colOff>
      <xdr:row>2</xdr:row>
      <xdr:rowOff>207066</xdr:rowOff>
    </xdr:to>
    <xdr:pic>
      <xdr:nvPicPr>
        <xdr:cNvPr id="2" name="4 Imagen" descr="logo findeter horizontal 2019">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l="6579"/>
        <a:stretch>
          <a:fillRect/>
        </a:stretch>
      </xdr:blipFill>
      <xdr:spPr>
        <a:xfrm>
          <a:off x="57785" y="45085"/>
          <a:ext cx="1812925" cy="720725"/>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pageSetUpPr fitToPage="1"/>
  </sheetPr>
  <dimension ref="A1:AF67"/>
  <sheetViews>
    <sheetView showGridLines="0" view="pageBreakPreview" zoomScale="70" zoomScaleNormal="120" zoomScalePageLayoutView="70" workbookViewId="0">
      <selection activeCell="D56" sqref="D56:U57"/>
    </sheetView>
  </sheetViews>
  <sheetFormatPr baseColWidth="10" defaultColWidth="11.453125" defaultRowHeight="14"/>
  <cols>
    <col min="1" max="1" width="3.453125" style="3" customWidth="1"/>
    <col min="2" max="2" width="11.453125" style="3"/>
    <col min="3" max="3" width="14.36328125" style="3" customWidth="1"/>
    <col min="4" max="4" width="8.81640625" style="3" customWidth="1"/>
    <col min="5" max="6" width="11.6328125" style="3" customWidth="1"/>
    <col min="7" max="8" width="11.453125" style="3"/>
    <col min="9" max="9" width="6.453125" style="3" customWidth="1"/>
    <col min="10" max="10" width="9.1796875" style="3" customWidth="1"/>
    <col min="11" max="11" width="8.6328125" style="3" customWidth="1"/>
    <col min="12" max="12" width="12.453125" style="3" customWidth="1"/>
    <col min="13" max="13" width="13.36328125" style="3" customWidth="1"/>
    <col min="14" max="14" width="17.81640625" style="3" customWidth="1"/>
    <col min="15" max="15" width="13.81640625" style="3" customWidth="1"/>
    <col min="16" max="19" width="11.453125" style="3" customWidth="1"/>
    <col min="20" max="20" width="10.81640625" style="3" customWidth="1"/>
    <col min="21" max="21" width="12.81640625" style="3" customWidth="1"/>
    <col min="22" max="22" width="0.81640625" style="3" customWidth="1"/>
    <col min="23" max="16384" width="11.453125" style="3"/>
  </cols>
  <sheetData>
    <row r="1" spans="1:22" s="1" customFormat="1" ht="22" customHeight="1">
      <c r="A1" s="167"/>
      <c r="B1" s="168"/>
      <c r="C1" s="169"/>
      <c r="D1" s="176" t="s">
        <v>0</v>
      </c>
      <c r="E1" s="177"/>
      <c r="F1" s="177"/>
      <c r="G1" s="177"/>
      <c r="H1" s="177"/>
      <c r="I1" s="177"/>
      <c r="J1" s="178"/>
      <c r="K1" s="156" t="s">
        <v>1</v>
      </c>
      <c r="L1" s="156"/>
      <c r="M1" s="157"/>
      <c r="N1" s="43"/>
      <c r="O1" s="43"/>
      <c r="P1" s="43"/>
      <c r="Q1" s="43"/>
      <c r="R1" s="43"/>
      <c r="S1" s="43"/>
      <c r="T1" s="162"/>
      <c r="U1" s="163"/>
      <c r="V1" s="164"/>
    </row>
    <row r="2" spans="1:22" s="1" customFormat="1" ht="22" customHeight="1">
      <c r="A2" s="170"/>
      <c r="B2" s="171"/>
      <c r="C2" s="172"/>
      <c r="D2" s="179"/>
      <c r="E2" s="180"/>
      <c r="F2" s="180"/>
      <c r="G2" s="180"/>
      <c r="H2" s="180"/>
      <c r="I2" s="180"/>
      <c r="J2" s="181"/>
      <c r="K2" s="158"/>
      <c r="L2" s="158"/>
      <c r="M2" s="159"/>
      <c r="N2" s="44"/>
      <c r="O2" s="44"/>
      <c r="P2" s="44"/>
      <c r="Q2" s="44"/>
      <c r="R2" s="44"/>
      <c r="S2" s="44"/>
      <c r="T2" s="165"/>
      <c r="U2" s="165"/>
      <c r="V2" s="166"/>
    </row>
    <row r="3" spans="1:22" s="1" customFormat="1" ht="22" customHeight="1">
      <c r="A3" s="173"/>
      <c r="B3" s="174"/>
      <c r="C3" s="175"/>
      <c r="D3" s="182"/>
      <c r="E3" s="183"/>
      <c r="F3" s="183"/>
      <c r="G3" s="183"/>
      <c r="H3" s="183"/>
      <c r="I3" s="183"/>
      <c r="J3" s="184"/>
      <c r="K3" s="160"/>
      <c r="L3" s="160"/>
      <c r="M3" s="161"/>
      <c r="N3" s="44"/>
      <c r="O3" s="44"/>
      <c r="P3" s="44"/>
      <c r="Q3" s="44"/>
      <c r="R3" s="44"/>
      <c r="S3" s="44"/>
      <c r="T3" s="165"/>
      <c r="U3" s="165"/>
      <c r="V3" s="166"/>
    </row>
    <row r="4" spans="1:22" s="1" customFormat="1" ht="12.75" customHeight="1">
      <c r="A4" s="4"/>
      <c r="C4" s="46"/>
      <c r="D4" s="46"/>
      <c r="E4" s="46"/>
      <c r="F4" s="46"/>
      <c r="G4" s="46"/>
      <c r="H4" s="46"/>
      <c r="I4" s="46"/>
      <c r="J4" s="46"/>
      <c r="K4" s="46"/>
      <c r="L4" s="46"/>
      <c r="M4" s="45"/>
      <c r="N4" s="46"/>
      <c r="O4" s="46"/>
      <c r="P4" s="46"/>
      <c r="Q4" s="46"/>
      <c r="R4" s="131"/>
      <c r="S4" s="131"/>
      <c r="T4" s="51"/>
      <c r="V4" s="83"/>
    </row>
    <row r="5" spans="1:22" s="1" customFormat="1" ht="31" customHeight="1">
      <c r="A5" s="4"/>
      <c r="B5" s="7" t="s">
        <v>2</v>
      </c>
      <c r="C5" s="7" t="s">
        <v>3</v>
      </c>
      <c r="D5" s="49"/>
      <c r="E5" s="7" t="s">
        <v>4</v>
      </c>
      <c r="F5" s="7" t="s">
        <v>5</v>
      </c>
      <c r="H5" s="9" t="s">
        <v>6</v>
      </c>
      <c r="I5" s="47">
        <v>2</v>
      </c>
      <c r="K5" s="9" t="s">
        <v>7</v>
      </c>
      <c r="L5" s="47" t="s">
        <v>8</v>
      </c>
      <c r="M5" s="48"/>
      <c r="N5" s="240"/>
      <c r="O5" s="240"/>
      <c r="P5" s="240"/>
      <c r="Q5" s="241"/>
      <c r="R5" s="241"/>
      <c r="S5" s="132"/>
      <c r="T5" s="240"/>
      <c r="U5" s="240"/>
      <c r="V5" s="83"/>
    </row>
    <row r="6" spans="1:22" s="1" customFormat="1" ht="24" customHeight="1">
      <c r="A6" s="10"/>
      <c r="B6" s="11"/>
      <c r="C6" s="12"/>
      <c r="D6" s="12"/>
      <c r="E6" s="12"/>
      <c r="F6" s="12"/>
      <c r="G6" s="12"/>
      <c r="H6" s="12"/>
      <c r="I6" s="12"/>
      <c r="J6" s="12"/>
      <c r="K6" s="12"/>
      <c r="L6" s="12"/>
      <c r="M6" s="50"/>
      <c r="N6" s="46"/>
      <c r="O6" s="46"/>
      <c r="P6" s="46"/>
      <c r="Q6" s="46"/>
      <c r="R6" s="131"/>
      <c r="S6" s="131"/>
      <c r="T6" s="51"/>
      <c r="V6" s="83"/>
    </row>
    <row r="7" spans="1:22" s="1" customFormat="1" ht="18" customHeight="1">
      <c r="A7" s="4"/>
      <c r="V7" s="83"/>
    </row>
    <row r="8" spans="1:22" s="1" customFormat="1" ht="13.5" customHeight="1">
      <c r="A8" s="242" t="s">
        <v>9</v>
      </c>
      <c r="B8" s="243"/>
      <c r="C8" s="243"/>
      <c r="D8" s="243"/>
      <c r="E8" s="13">
        <v>46027</v>
      </c>
      <c r="F8" s="14"/>
      <c r="G8" s="244" t="s">
        <v>10</v>
      </c>
      <c r="H8" s="244"/>
      <c r="I8" s="245">
        <v>46000</v>
      </c>
      <c r="J8" s="243"/>
      <c r="K8" s="17"/>
      <c r="L8" s="51"/>
      <c r="P8" s="246"/>
      <c r="Q8" s="171"/>
      <c r="S8" s="133"/>
      <c r="U8" s="246"/>
      <c r="V8" s="247"/>
    </row>
    <row r="9" spans="1:22" s="1" customFormat="1" ht="17.25" customHeight="1">
      <c r="A9" s="15"/>
      <c r="B9" s="14"/>
      <c r="C9" s="14"/>
      <c r="D9" s="14"/>
      <c r="E9" s="16"/>
      <c r="F9" s="16"/>
      <c r="G9" s="17"/>
      <c r="H9" s="17"/>
      <c r="I9" s="17"/>
      <c r="J9" s="17"/>
      <c r="K9" s="17"/>
      <c r="L9" s="17"/>
      <c r="M9" s="17"/>
      <c r="N9" s="17"/>
      <c r="O9" s="17"/>
      <c r="R9" s="85"/>
      <c r="S9" s="85"/>
      <c r="T9" s="85"/>
      <c r="U9" s="85"/>
      <c r="V9" s="86"/>
    </row>
    <row r="10" spans="1:22" s="1" customFormat="1" ht="12.75" customHeight="1">
      <c r="A10" s="234" t="s">
        <v>11</v>
      </c>
      <c r="B10" s="235"/>
      <c r="C10" s="235"/>
      <c r="D10" s="236">
        <v>7</v>
      </c>
      <c r="E10" s="236"/>
      <c r="F10" s="236"/>
      <c r="G10" s="236"/>
      <c r="H10" s="236"/>
      <c r="I10" s="236"/>
      <c r="J10" s="17"/>
      <c r="K10" s="17"/>
      <c r="L10" s="17"/>
      <c r="M10" s="17"/>
      <c r="N10" s="17"/>
      <c r="O10" s="17"/>
      <c r="R10" s="85"/>
      <c r="S10" s="85"/>
      <c r="T10" s="85"/>
      <c r="U10" s="85"/>
      <c r="V10" s="86"/>
    </row>
    <row r="11" spans="1:22" s="1" customFormat="1" ht="12.75" customHeight="1">
      <c r="A11" s="234" t="s">
        <v>12</v>
      </c>
      <c r="B11" s="235"/>
      <c r="C11" s="235"/>
      <c r="D11" s="236" t="s">
        <v>8</v>
      </c>
      <c r="E11" s="236"/>
      <c r="F11" s="236"/>
      <c r="G11" s="236"/>
      <c r="H11" s="236"/>
      <c r="I11" s="236"/>
      <c r="J11" s="18"/>
      <c r="K11" s="18"/>
      <c r="L11" s="18"/>
      <c r="M11" s="18"/>
      <c r="N11" s="18"/>
      <c r="O11" s="18"/>
      <c r="P11" s="18"/>
      <c r="Q11" s="18"/>
      <c r="R11" s="18"/>
      <c r="S11" s="18"/>
      <c r="T11" s="18"/>
      <c r="U11" s="18"/>
      <c r="V11" s="87"/>
    </row>
    <row r="12" spans="1:22" s="1" customFormat="1" ht="12.75" customHeight="1">
      <c r="A12" s="234" t="s">
        <v>13</v>
      </c>
      <c r="B12" s="235"/>
      <c r="C12" s="235"/>
      <c r="D12" s="236" t="s">
        <v>14</v>
      </c>
      <c r="E12" s="236"/>
      <c r="F12" s="236"/>
      <c r="G12" s="236"/>
      <c r="H12" s="236"/>
      <c r="I12" s="236"/>
      <c r="J12" s="18"/>
      <c r="K12" s="18"/>
      <c r="L12" s="18"/>
      <c r="M12" s="18"/>
      <c r="N12" s="18"/>
      <c r="O12" s="18"/>
      <c r="P12" s="18"/>
      <c r="R12" s="85"/>
      <c r="S12" s="85"/>
      <c r="T12" s="85"/>
      <c r="U12" s="85"/>
      <c r="V12" s="86"/>
    </row>
    <row r="13" spans="1:22" s="1" customFormat="1" ht="12.75" customHeight="1">
      <c r="A13" s="234" t="s">
        <v>15</v>
      </c>
      <c r="B13" s="235"/>
      <c r="C13" s="235"/>
      <c r="D13" s="236" t="s">
        <v>5</v>
      </c>
      <c r="E13" s="236"/>
      <c r="F13" s="236"/>
      <c r="G13" s="236"/>
      <c r="H13" s="236"/>
      <c r="I13" s="236"/>
      <c r="J13" s="18"/>
      <c r="L13" s="18"/>
      <c r="M13" s="18"/>
      <c r="N13" s="18"/>
      <c r="O13" s="18"/>
      <c r="P13" s="18"/>
      <c r="Q13" s="18"/>
      <c r="R13" s="18"/>
      <c r="S13" s="18"/>
      <c r="T13" s="85"/>
      <c r="U13" s="85"/>
      <c r="V13" s="86"/>
    </row>
    <row r="14" spans="1:22" s="1" customFormat="1" ht="12.75" customHeight="1">
      <c r="A14" s="234" t="s">
        <v>16</v>
      </c>
      <c r="B14" s="235"/>
      <c r="C14" s="235"/>
      <c r="D14" s="236" t="s">
        <v>17</v>
      </c>
      <c r="E14" s="236"/>
      <c r="F14" s="236"/>
      <c r="G14" s="236"/>
      <c r="H14" s="236"/>
      <c r="I14" s="236"/>
      <c r="J14" s="17" t="s">
        <v>18</v>
      </c>
      <c r="L14" s="237" t="s">
        <v>3</v>
      </c>
      <c r="M14" s="237"/>
      <c r="N14" s="18"/>
      <c r="O14" s="18"/>
      <c r="P14" s="18"/>
      <c r="R14" s="85"/>
      <c r="T14" s="85"/>
      <c r="U14" s="85"/>
      <c r="V14" s="86"/>
    </row>
    <row r="15" spans="1:22" s="1" customFormat="1" ht="12.75" customHeight="1">
      <c r="A15" s="234" t="s">
        <v>19</v>
      </c>
      <c r="B15" s="235"/>
      <c r="C15" s="235"/>
      <c r="D15" s="236" t="s">
        <v>20</v>
      </c>
      <c r="E15" s="236"/>
      <c r="F15" s="236"/>
      <c r="G15" s="236"/>
      <c r="H15" s="236"/>
      <c r="I15" s="236"/>
      <c r="J15" s="17" t="s">
        <v>21</v>
      </c>
      <c r="L15" s="237" t="s">
        <v>22</v>
      </c>
      <c r="M15" s="237"/>
      <c r="N15" s="18"/>
      <c r="O15" s="18"/>
      <c r="P15" s="18"/>
      <c r="Q15" s="18"/>
      <c r="R15" s="18"/>
      <c r="T15" s="85"/>
      <c r="U15" s="85"/>
      <c r="V15" s="86"/>
    </row>
    <row r="16" spans="1:22" s="1" customFormat="1" ht="12.75" customHeight="1">
      <c r="A16" s="238" t="s">
        <v>23</v>
      </c>
      <c r="B16" s="239"/>
      <c r="C16" s="239"/>
      <c r="D16" s="236" t="s">
        <v>24</v>
      </c>
      <c r="E16" s="236"/>
      <c r="F16" s="236"/>
      <c r="G16" s="236"/>
      <c r="H16" s="236"/>
      <c r="I16" s="236"/>
      <c r="J16" s="18"/>
      <c r="K16" s="18"/>
      <c r="L16" s="18"/>
      <c r="M16" s="18"/>
      <c r="N16" s="18"/>
      <c r="O16" s="18"/>
      <c r="P16" s="18"/>
      <c r="R16" s="85"/>
      <c r="S16" s="85"/>
      <c r="T16" s="85"/>
      <c r="U16" s="85"/>
      <c r="V16" s="86"/>
    </row>
    <row r="17" spans="1:32" s="1" customFormat="1" ht="12.75" customHeight="1">
      <c r="A17" s="225" t="s">
        <v>25</v>
      </c>
      <c r="B17" s="226"/>
      <c r="C17" s="226"/>
      <c r="D17" s="227">
        <v>46053</v>
      </c>
      <c r="E17" s="228"/>
      <c r="F17" s="228"/>
      <c r="G17" s="228"/>
      <c r="H17" s="228"/>
      <c r="I17" s="228"/>
      <c r="J17" s="19"/>
      <c r="K17" s="19"/>
      <c r="L17" s="19"/>
      <c r="M17" s="19"/>
      <c r="N17" s="52"/>
      <c r="O17" s="53"/>
      <c r="P17" s="5"/>
      <c r="Q17" s="5"/>
      <c r="R17" s="23"/>
      <c r="S17" s="23"/>
      <c r="T17" s="23"/>
      <c r="U17" s="23"/>
      <c r="V17" s="88"/>
    </row>
    <row r="18" spans="1:32" s="1" customFormat="1" ht="36.75" customHeight="1">
      <c r="A18" s="147"/>
      <c r="B18" s="148"/>
      <c r="C18" s="148"/>
      <c r="D18" s="148"/>
      <c r="E18" s="148"/>
      <c r="F18" s="148"/>
      <c r="G18" s="148"/>
      <c r="H18" s="148"/>
      <c r="I18" s="148"/>
      <c r="J18" s="148"/>
      <c r="K18" s="148"/>
      <c r="L18" s="148"/>
      <c r="M18" s="148"/>
      <c r="N18" s="150" t="s">
        <v>26</v>
      </c>
      <c r="O18" s="150" t="s">
        <v>27</v>
      </c>
      <c r="P18" s="150" t="s">
        <v>28</v>
      </c>
      <c r="Q18" s="150" t="s">
        <v>28</v>
      </c>
      <c r="R18" s="150" t="s">
        <v>28</v>
      </c>
      <c r="S18" s="150" t="s">
        <v>28</v>
      </c>
      <c r="T18" s="150" t="s">
        <v>28</v>
      </c>
      <c r="U18" s="154"/>
      <c r="V18" s="86"/>
    </row>
    <row r="19" spans="1:32" s="1" customFormat="1" ht="21.75" customHeight="1">
      <c r="A19" s="149" t="s">
        <v>29</v>
      </c>
      <c r="B19" s="229" t="s">
        <v>30</v>
      </c>
      <c r="C19" s="229"/>
      <c r="D19" s="229"/>
      <c r="E19" s="229"/>
      <c r="F19" s="229"/>
      <c r="G19" s="229"/>
      <c r="H19" s="229"/>
      <c r="I19" s="229"/>
      <c r="J19" s="151" t="s">
        <v>31</v>
      </c>
      <c r="K19" s="151" t="s">
        <v>32</v>
      </c>
      <c r="L19" s="151" t="s">
        <v>33</v>
      </c>
      <c r="M19" s="151" t="s">
        <v>34</v>
      </c>
      <c r="N19" s="152" t="s">
        <v>35</v>
      </c>
      <c r="O19" s="153">
        <v>46027</v>
      </c>
      <c r="P19" s="153">
        <v>46028</v>
      </c>
      <c r="Q19" s="153">
        <v>46029</v>
      </c>
      <c r="R19" s="153">
        <v>46030</v>
      </c>
      <c r="S19" s="153">
        <v>46031</v>
      </c>
      <c r="T19" s="152" t="s">
        <v>36</v>
      </c>
      <c r="U19" s="155" t="s">
        <v>37</v>
      </c>
      <c r="V19" s="86"/>
    </row>
    <row r="20" spans="1:32" s="1" customFormat="1" ht="17.25" customHeight="1">
      <c r="A20" s="230" t="s">
        <v>38</v>
      </c>
      <c r="B20" s="231"/>
      <c r="C20" s="231"/>
      <c r="D20" s="231"/>
      <c r="E20" s="231"/>
      <c r="F20" s="231"/>
      <c r="G20" s="231"/>
      <c r="H20" s="231"/>
      <c r="I20" s="231"/>
      <c r="J20" s="231"/>
      <c r="K20" s="231"/>
      <c r="L20" s="231"/>
      <c r="M20" s="231"/>
      <c r="N20" s="232"/>
      <c r="O20" s="232"/>
      <c r="P20" s="232"/>
      <c r="Q20" s="232"/>
      <c r="R20" s="232"/>
      <c r="S20" s="232"/>
      <c r="T20" s="233"/>
      <c r="U20" s="134">
        <v>20</v>
      </c>
      <c r="V20" s="86"/>
      <c r="AC20" s="116" t="s">
        <v>39</v>
      </c>
      <c r="AD20" s="116" t="s">
        <v>40</v>
      </c>
    </row>
    <row r="21" spans="1:32" s="1" customFormat="1" ht="17.25" customHeight="1">
      <c r="A21" s="27">
        <v>1</v>
      </c>
      <c r="B21" s="221" t="s">
        <v>41</v>
      </c>
      <c r="C21" s="221"/>
      <c r="D21" s="221"/>
      <c r="E21" s="221"/>
      <c r="F21" s="221"/>
      <c r="G21" s="221"/>
      <c r="H21" s="221"/>
      <c r="I21" s="221"/>
      <c r="J21" s="62" t="s">
        <v>42</v>
      </c>
      <c r="K21" s="71"/>
      <c r="L21" s="71"/>
      <c r="M21" s="71"/>
      <c r="N21" s="129">
        <v>4</v>
      </c>
      <c r="O21" s="72">
        <v>0</v>
      </c>
      <c r="P21" s="72">
        <v>0</v>
      </c>
      <c r="Q21" s="72">
        <v>0</v>
      </c>
      <c r="R21" s="72">
        <v>1</v>
      </c>
      <c r="S21" s="135">
        <v>1</v>
      </c>
      <c r="T21" s="136">
        <f>AVERAGE(O21:S21)</f>
        <v>0.4</v>
      </c>
      <c r="U21" s="201">
        <f>IF(SUM(N21:N25)&lt;&gt;U20,"Ajustar Ponderacion",IF(SUM(AD21:AD25)=0,"",IF(SUM(AC21:AC25)=U20,IF(SUM(N21:N25)=U20,SUM(AD21:AD25),"Ajustar ponderacion"),"Ajustar ponderacion")))</f>
        <v>17.600000000000001</v>
      </c>
      <c r="V21" s="86"/>
      <c r="AC21" s="117">
        <f t="shared" ref="AC21:AC54" si="0">IF(J21="x",N21)</f>
        <v>4</v>
      </c>
      <c r="AD21" s="118">
        <f t="shared" ref="AD21:AD54" si="1">AC21*T21</f>
        <v>1.6</v>
      </c>
      <c r="AF21" s="1">
        <v>0</v>
      </c>
    </row>
    <row r="22" spans="1:32" s="1" customFormat="1" ht="28.75" customHeight="1">
      <c r="A22" s="28">
        <v>2</v>
      </c>
      <c r="B22" s="196" t="s">
        <v>43</v>
      </c>
      <c r="C22" s="196"/>
      <c r="D22" s="196"/>
      <c r="E22" s="196"/>
      <c r="F22" s="196"/>
      <c r="G22" s="196"/>
      <c r="H22" s="196"/>
      <c r="I22" s="196"/>
      <c r="J22" s="62" t="s">
        <v>42</v>
      </c>
      <c r="K22" s="63"/>
      <c r="L22" s="63"/>
      <c r="M22" s="63"/>
      <c r="N22" s="64">
        <v>4</v>
      </c>
      <c r="O22" s="72">
        <v>1</v>
      </c>
      <c r="P22" s="72">
        <v>1</v>
      </c>
      <c r="Q22" s="72">
        <v>1</v>
      </c>
      <c r="R22" s="72">
        <v>1</v>
      </c>
      <c r="S22" s="135">
        <v>1</v>
      </c>
      <c r="T22" s="137">
        <f>AVERAGE(O22:S22)</f>
        <v>1</v>
      </c>
      <c r="U22" s="202"/>
      <c r="V22" s="86"/>
      <c r="AC22" s="117">
        <f t="shared" si="0"/>
        <v>4</v>
      </c>
      <c r="AD22" s="118">
        <f t="shared" si="1"/>
        <v>4</v>
      </c>
      <c r="AF22" s="1">
        <v>100</v>
      </c>
    </row>
    <row r="23" spans="1:32" s="1" customFormat="1" ht="27.75" customHeight="1">
      <c r="A23" s="28">
        <v>3</v>
      </c>
      <c r="B23" s="196" t="s">
        <v>44</v>
      </c>
      <c r="C23" s="196"/>
      <c r="D23" s="196"/>
      <c r="E23" s="196"/>
      <c r="F23" s="196"/>
      <c r="G23" s="196"/>
      <c r="H23" s="196"/>
      <c r="I23" s="196"/>
      <c r="J23" s="62" t="s">
        <v>42</v>
      </c>
      <c r="K23" s="63"/>
      <c r="L23" s="63"/>
      <c r="M23" s="63"/>
      <c r="N23" s="64">
        <v>4</v>
      </c>
      <c r="O23" s="72">
        <v>1</v>
      </c>
      <c r="P23" s="72">
        <v>1</v>
      </c>
      <c r="Q23" s="72">
        <v>1</v>
      </c>
      <c r="R23" s="72">
        <v>1</v>
      </c>
      <c r="S23" s="135">
        <v>1</v>
      </c>
      <c r="T23" s="137">
        <f>AVERAGE(O23:S23)</f>
        <v>1</v>
      </c>
      <c r="U23" s="202"/>
      <c r="V23" s="86"/>
      <c r="AC23" s="117">
        <f t="shared" si="0"/>
        <v>4</v>
      </c>
      <c r="AD23" s="118">
        <f t="shared" si="1"/>
        <v>4</v>
      </c>
    </row>
    <row r="24" spans="1:32" s="1" customFormat="1" ht="30.75" customHeight="1">
      <c r="A24" s="28">
        <v>4</v>
      </c>
      <c r="B24" s="196" t="s">
        <v>45</v>
      </c>
      <c r="C24" s="196"/>
      <c r="D24" s="196"/>
      <c r="E24" s="196"/>
      <c r="F24" s="196"/>
      <c r="G24" s="196"/>
      <c r="H24" s="196"/>
      <c r="I24" s="196"/>
      <c r="J24" s="62" t="s">
        <v>42</v>
      </c>
      <c r="K24" s="62"/>
      <c r="L24" s="63"/>
      <c r="M24" s="63"/>
      <c r="N24" s="64">
        <v>4</v>
      </c>
      <c r="O24" s="72">
        <v>1</v>
      </c>
      <c r="P24" s="72">
        <v>1</v>
      </c>
      <c r="Q24" s="72">
        <v>1</v>
      </c>
      <c r="R24" s="72">
        <v>1</v>
      </c>
      <c r="S24" s="135">
        <v>1</v>
      </c>
      <c r="T24" s="137">
        <f>AVERAGE(O24:S24)</f>
        <v>1</v>
      </c>
      <c r="U24" s="202"/>
      <c r="V24" s="86"/>
      <c r="AC24" s="117">
        <f t="shared" si="0"/>
        <v>4</v>
      </c>
      <c r="AD24" s="118">
        <f t="shared" si="1"/>
        <v>4</v>
      </c>
    </row>
    <row r="25" spans="1:32" s="1" customFormat="1" ht="17.25" customHeight="1">
      <c r="A25" s="128">
        <v>5</v>
      </c>
      <c r="B25" s="197" t="s">
        <v>46</v>
      </c>
      <c r="C25" s="197"/>
      <c r="D25" s="197"/>
      <c r="E25" s="197"/>
      <c r="F25" s="197"/>
      <c r="G25" s="197"/>
      <c r="H25" s="197"/>
      <c r="I25" s="197"/>
      <c r="J25" s="62" t="s">
        <v>42</v>
      </c>
      <c r="K25" s="130"/>
      <c r="L25" s="130"/>
      <c r="M25" s="130"/>
      <c r="N25" s="78">
        <v>4</v>
      </c>
      <c r="O25" s="72">
        <v>1</v>
      </c>
      <c r="P25" s="72">
        <v>1</v>
      </c>
      <c r="Q25" s="72">
        <v>1</v>
      </c>
      <c r="R25" s="72">
        <v>1</v>
      </c>
      <c r="S25" s="135">
        <v>1</v>
      </c>
      <c r="T25" s="100">
        <f>AVERAGE(O25:S25)</f>
        <v>1</v>
      </c>
      <c r="U25" s="203"/>
      <c r="V25" s="86"/>
      <c r="AC25" s="117">
        <f t="shared" si="0"/>
        <v>4</v>
      </c>
      <c r="AD25" s="118">
        <f t="shared" si="1"/>
        <v>4</v>
      </c>
    </row>
    <row r="26" spans="1:32" s="1" customFormat="1" ht="17.25" customHeight="1">
      <c r="A26" s="222" t="s">
        <v>47</v>
      </c>
      <c r="B26" s="223"/>
      <c r="C26" s="223"/>
      <c r="D26" s="223"/>
      <c r="E26" s="223"/>
      <c r="F26" s="223"/>
      <c r="G26" s="223"/>
      <c r="H26" s="223"/>
      <c r="I26" s="223"/>
      <c r="J26" s="223"/>
      <c r="K26" s="223"/>
      <c r="L26" s="223"/>
      <c r="M26" s="223"/>
      <c r="N26" s="223"/>
      <c r="O26" s="223"/>
      <c r="P26" s="223"/>
      <c r="Q26" s="223"/>
      <c r="R26" s="223"/>
      <c r="S26" s="223"/>
      <c r="T26" s="224"/>
      <c r="U26" s="138">
        <v>50</v>
      </c>
      <c r="V26" s="86"/>
      <c r="AC26" s="117" t="b">
        <f t="shared" si="0"/>
        <v>0</v>
      </c>
      <c r="AD26" s="118">
        <f t="shared" si="1"/>
        <v>0</v>
      </c>
    </row>
    <row r="27" spans="1:32" s="1" customFormat="1" ht="17.25" customHeight="1">
      <c r="A27" s="27">
        <v>6</v>
      </c>
      <c r="B27" s="221" t="s">
        <v>48</v>
      </c>
      <c r="C27" s="221"/>
      <c r="D27" s="221"/>
      <c r="E27" s="221"/>
      <c r="F27" s="221"/>
      <c r="G27" s="221"/>
      <c r="H27" s="221"/>
      <c r="I27" s="221"/>
      <c r="J27" s="62" t="s">
        <v>42</v>
      </c>
      <c r="K27" s="70"/>
      <c r="L27" s="70"/>
      <c r="M27" s="70"/>
      <c r="N27" s="71">
        <v>2.5</v>
      </c>
      <c r="O27" s="72">
        <v>1</v>
      </c>
      <c r="P27" s="72">
        <v>1</v>
      </c>
      <c r="Q27" s="72">
        <v>1</v>
      </c>
      <c r="R27" s="72">
        <v>1</v>
      </c>
      <c r="S27" s="135">
        <v>1</v>
      </c>
      <c r="T27" s="139">
        <f t="shared" ref="T27:T46" si="2">AVERAGE(O27:S27)</f>
        <v>1</v>
      </c>
      <c r="U27" s="201">
        <f>IF(SUM(N27:N46)&lt;&gt;U26,"Ajuste ponderacion",IF(SUM(AD27:AD46)=0,"",IF(SUM(AC27:AC46)=U26,IF(SUM(N27:N46)=U26,SUM(AD27:AD46),"ajustar ponderacion"),"ajustar ponderacion")))</f>
        <v>50</v>
      </c>
      <c r="V27" s="86"/>
      <c r="AC27" s="117">
        <f t="shared" si="0"/>
        <v>2.5</v>
      </c>
      <c r="AD27" s="118">
        <f t="shared" si="1"/>
        <v>2.5</v>
      </c>
    </row>
    <row r="28" spans="1:32" s="1" customFormat="1" ht="17.25" customHeight="1">
      <c r="A28" s="28">
        <v>7</v>
      </c>
      <c r="B28" s="196" t="s">
        <v>49</v>
      </c>
      <c r="C28" s="196"/>
      <c r="D28" s="196"/>
      <c r="E28" s="196"/>
      <c r="F28" s="196"/>
      <c r="G28" s="196"/>
      <c r="H28" s="196"/>
      <c r="I28" s="196"/>
      <c r="J28" s="62" t="s">
        <v>42</v>
      </c>
      <c r="K28" s="73"/>
      <c r="L28" s="73"/>
      <c r="M28" s="73"/>
      <c r="N28" s="71">
        <v>2.5</v>
      </c>
      <c r="O28" s="72">
        <v>1</v>
      </c>
      <c r="P28" s="72">
        <v>1</v>
      </c>
      <c r="Q28" s="72">
        <v>1</v>
      </c>
      <c r="R28" s="72">
        <v>1</v>
      </c>
      <c r="S28" s="135">
        <v>1</v>
      </c>
      <c r="T28" s="140">
        <f t="shared" si="2"/>
        <v>1</v>
      </c>
      <c r="U28" s="202"/>
      <c r="V28" s="86"/>
      <c r="AC28" s="117">
        <f t="shared" si="0"/>
        <v>2.5</v>
      </c>
      <c r="AD28" s="118">
        <f t="shared" si="1"/>
        <v>2.5</v>
      </c>
    </row>
    <row r="29" spans="1:32" s="1" customFormat="1" ht="36.75" customHeight="1">
      <c r="A29" s="28">
        <v>8</v>
      </c>
      <c r="B29" s="196" t="s">
        <v>50</v>
      </c>
      <c r="C29" s="196"/>
      <c r="D29" s="196"/>
      <c r="E29" s="196"/>
      <c r="F29" s="196"/>
      <c r="G29" s="196"/>
      <c r="H29" s="196"/>
      <c r="I29" s="196"/>
      <c r="J29" s="62" t="s">
        <v>42</v>
      </c>
      <c r="K29" s="73"/>
      <c r="L29" s="62"/>
      <c r="M29" s="73"/>
      <c r="N29" s="71">
        <v>2.5</v>
      </c>
      <c r="O29" s="72">
        <v>1</v>
      </c>
      <c r="P29" s="72">
        <v>1</v>
      </c>
      <c r="Q29" s="72">
        <v>1</v>
      </c>
      <c r="R29" s="72">
        <v>1</v>
      </c>
      <c r="S29" s="135">
        <v>1</v>
      </c>
      <c r="T29" s="140">
        <f t="shared" si="2"/>
        <v>1</v>
      </c>
      <c r="U29" s="202"/>
      <c r="V29" s="86"/>
      <c r="AC29" s="117">
        <f t="shared" si="0"/>
        <v>2.5</v>
      </c>
      <c r="AD29" s="118">
        <f t="shared" si="1"/>
        <v>2.5</v>
      </c>
    </row>
    <row r="30" spans="1:32" s="1" customFormat="1" ht="28" customHeight="1">
      <c r="A30" s="28">
        <v>9</v>
      </c>
      <c r="B30" s="196" t="s">
        <v>51</v>
      </c>
      <c r="C30" s="196"/>
      <c r="D30" s="196"/>
      <c r="E30" s="196"/>
      <c r="F30" s="196"/>
      <c r="G30" s="196"/>
      <c r="H30" s="196"/>
      <c r="I30" s="196"/>
      <c r="J30" s="62" t="s">
        <v>42</v>
      </c>
      <c r="K30" s="73"/>
      <c r="L30" s="73"/>
      <c r="M30" s="73"/>
      <c r="N30" s="71">
        <v>2.5</v>
      </c>
      <c r="O30" s="72">
        <v>1</v>
      </c>
      <c r="P30" s="72">
        <v>1</v>
      </c>
      <c r="Q30" s="72">
        <v>1</v>
      </c>
      <c r="R30" s="72">
        <v>1</v>
      </c>
      <c r="S30" s="135">
        <v>1</v>
      </c>
      <c r="T30" s="140">
        <f t="shared" si="2"/>
        <v>1</v>
      </c>
      <c r="U30" s="202"/>
      <c r="V30" s="86"/>
      <c r="AC30" s="117">
        <f t="shared" si="0"/>
        <v>2.5</v>
      </c>
      <c r="AD30" s="118">
        <f t="shared" si="1"/>
        <v>2.5</v>
      </c>
    </row>
    <row r="31" spans="1:32" s="1" customFormat="1" ht="17" customHeight="1">
      <c r="A31" s="28">
        <v>10</v>
      </c>
      <c r="B31" s="196" t="s">
        <v>52</v>
      </c>
      <c r="C31" s="196"/>
      <c r="D31" s="196"/>
      <c r="E31" s="196"/>
      <c r="F31" s="196"/>
      <c r="G31" s="196"/>
      <c r="H31" s="196"/>
      <c r="I31" s="196"/>
      <c r="J31" s="62" t="s">
        <v>42</v>
      </c>
      <c r="K31" s="73"/>
      <c r="L31" s="62"/>
      <c r="M31" s="73"/>
      <c r="N31" s="71">
        <v>2.5</v>
      </c>
      <c r="O31" s="72">
        <v>1</v>
      </c>
      <c r="P31" s="72">
        <v>1</v>
      </c>
      <c r="Q31" s="72">
        <v>1</v>
      </c>
      <c r="R31" s="72">
        <v>1</v>
      </c>
      <c r="S31" s="135">
        <v>1</v>
      </c>
      <c r="T31" s="140">
        <f t="shared" si="2"/>
        <v>1</v>
      </c>
      <c r="U31" s="202"/>
      <c r="V31" s="86"/>
      <c r="AC31" s="117">
        <f t="shared" si="0"/>
        <v>2.5</v>
      </c>
      <c r="AD31" s="118">
        <f t="shared" si="1"/>
        <v>2.5</v>
      </c>
    </row>
    <row r="32" spans="1:32" s="1" customFormat="1" ht="17" customHeight="1">
      <c r="A32" s="28">
        <v>11</v>
      </c>
      <c r="B32" s="196" t="s">
        <v>53</v>
      </c>
      <c r="C32" s="196"/>
      <c r="D32" s="196"/>
      <c r="E32" s="196"/>
      <c r="F32" s="196"/>
      <c r="G32" s="196"/>
      <c r="H32" s="196"/>
      <c r="I32" s="196"/>
      <c r="J32" s="62" t="s">
        <v>42</v>
      </c>
      <c r="K32" s="62"/>
      <c r="L32" s="73"/>
      <c r="M32" s="73"/>
      <c r="N32" s="71">
        <v>2.5</v>
      </c>
      <c r="O32" s="72">
        <v>1</v>
      </c>
      <c r="P32" s="72">
        <v>1</v>
      </c>
      <c r="Q32" s="72">
        <v>1</v>
      </c>
      <c r="R32" s="72">
        <v>1</v>
      </c>
      <c r="S32" s="135">
        <v>1</v>
      </c>
      <c r="T32" s="140">
        <f t="shared" si="2"/>
        <v>1</v>
      </c>
      <c r="U32" s="202"/>
      <c r="V32" s="86"/>
      <c r="AC32" s="117">
        <f t="shared" si="0"/>
        <v>2.5</v>
      </c>
      <c r="AD32" s="118">
        <f t="shared" si="1"/>
        <v>2.5</v>
      </c>
    </row>
    <row r="33" spans="1:30" s="1" customFormat="1" ht="17.25" customHeight="1">
      <c r="A33" s="28">
        <v>12</v>
      </c>
      <c r="B33" s="196" t="s">
        <v>54</v>
      </c>
      <c r="C33" s="196"/>
      <c r="D33" s="196"/>
      <c r="E33" s="196"/>
      <c r="F33" s="196"/>
      <c r="G33" s="196"/>
      <c r="H33" s="196"/>
      <c r="I33" s="196"/>
      <c r="J33" s="62" t="s">
        <v>42</v>
      </c>
      <c r="K33" s="62"/>
      <c r="L33" s="73"/>
      <c r="M33" s="73"/>
      <c r="N33" s="71">
        <v>2.5</v>
      </c>
      <c r="O33" s="72">
        <v>1</v>
      </c>
      <c r="P33" s="72">
        <v>1</v>
      </c>
      <c r="Q33" s="72">
        <v>1</v>
      </c>
      <c r="R33" s="72">
        <v>1</v>
      </c>
      <c r="S33" s="135">
        <v>1</v>
      </c>
      <c r="T33" s="140">
        <f t="shared" si="2"/>
        <v>1</v>
      </c>
      <c r="U33" s="202"/>
      <c r="V33" s="86"/>
      <c r="AC33" s="117">
        <f t="shared" si="0"/>
        <v>2.5</v>
      </c>
      <c r="AD33" s="118">
        <f t="shared" si="1"/>
        <v>2.5</v>
      </c>
    </row>
    <row r="34" spans="1:30" s="1" customFormat="1" ht="17.25" customHeight="1">
      <c r="A34" s="28">
        <v>13</v>
      </c>
      <c r="B34" s="196" t="s">
        <v>55</v>
      </c>
      <c r="C34" s="196"/>
      <c r="D34" s="196"/>
      <c r="E34" s="196"/>
      <c r="F34" s="196"/>
      <c r="G34" s="196"/>
      <c r="H34" s="196"/>
      <c r="I34" s="196"/>
      <c r="J34" s="62" t="s">
        <v>42</v>
      </c>
      <c r="K34" s="62"/>
      <c r="L34" s="73"/>
      <c r="M34" s="73"/>
      <c r="N34" s="71">
        <v>2.5</v>
      </c>
      <c r="O34" s="72">
        <v>1</v>
      </c>
      <c r="P34" s="72">
        <v>1</v>
      </c>
      <c r="Q34" s="72">
        <v>1</v>
      </c>
      <c r="R34" s="72">
        <v>1</v>
      </c>
      <c r="S34" s="135">
        <v>1</v>
      </c>
      <c r="T34" s="140">
        <f t="shared" si="2"/>
        <v>1</v>
      </c>
      <c r="U34" s="202"/>
      <c r="V34" s="86"/>
      <c r="AC34" s="117">
        <f t="shared" si="0"/>
        <v>2.5</v>
      </c>
      <c r="AD34" s="118">
        <f t="shared" si="1"/>
        <v>2.5</v>
      </c>
    </row>
    <row r="35" spans="1:30" s="1" customFormat="1" ht="17.25" customHeight="1">
      <c r="A35" s="28">
        <v>14</v>
      </c>
      <c r="B35" s="196" t="s">
        <v>56</v>
      </c>
      <c r="C35" s="196"/>
      <c r="D35" s="196"/>
      <c r="E35" s="196"/>
      <c r="F35" s="196"/>
      <c r="G35" s="196"/>
      <c r="H35" s="196"/>
      <c r="I35" s="196"/>
      <c r="J35" s="62" t="s">
        <v>42</v>
      </c>
      <c r="K35" s="73"/>
      <c r="L35" s="73"/>
      <c r="M35" s="73"/>
      <c r="N35" s="71">
        <v>2.5</v>
      </c>
      <c r="O35" s="72">
        <v>1</v>
      </c>
      <c r="P35" s="72">
        <v>1</v>
      </c>
      <c r="Q35" s="72">
        <v>1</v>
      </c>
      <c r="R35" s="72">
        <v>1</v>
      </c>
      <c r="S35" s="135">
        <v>1</v>
      </c>
      <c r="T35" s="140">
        <f t="shared" si="2"/>
        <v>1</v>
      </c>
      <c r="U35" s="202"/>
      <c r="V35" s="86"/>
      <c r="AC35" s="117">
        <f t="shared" si="0"/>
        <v>2.5</v>
      </c>
      <c r="AD35" s="118">
        <f t="shared" si="1"/>
        <v>2.5</v>
      </c>
    </row>
    <row r="36" spans="1:30" s="1" customFormat="1" ht="17.25" customHeight="1">
      <c r="A36" s="28">
        <v>15</v>
      </c>
      <c r="B36" s="196" t="s">
        <v>57</v>
      </c>
      <c r="C36" s="196"/>
      <c r="D36" s="196"/>
      <c r="E36" s="196"/>
      <c r="F36" s="196"/>
      <c r="G36" s="196"/>
      <c r="H36" s="196"/>
      <c r="I36" s="196"/>
      <c r="J36" s="62" t="s">
        <v>42</v>
      </c>
      <c r="K36" s="73"/>
      <c r="L36" s="73"/>
      <c r="M36" s="73"/>
      <c r="N36" s="71">
        <v>2.5</v>
      </c>
      <c r="O36" s="72">
        <v>1</v>
      </c>
      <c r="P36" s="72">
        <v>1</v>
      </c>
      <c r="Q36" s="72">
        <v>1</v>
      </c>
      <c r="R36" s="72">
        <v>1</v>
      </c>
      <c r="S36" s="135">
        <v>1</v>
      </c>
      <c r="T36" s="140">
        <f t="shared" si="2"/>
        <v>1</v>
      </c>
      <c r="U36" s="202"/>
      <c r="V36" s="86"/>
      <c r="AC36" s="117">
        <f t="shared" si="0"/>
        <v>2.5</v>
      </c>
      <c r="AD36" s="118">
        <f t="shared" si="1"/>
        <v>2.5</v>
      </c>
    </row>
    <row r="37" spans="1:30" ht="17.25" customHeight="1">
      <c r="A37" s="29">
        <v>16</v>
      </c>
      <c r="B37" s="196" t="s">
        <v>58</v>
      </c>
      <c r="C37" s="196"/>
      <c r="D37" s="196"/>
      <c r="E37" s="196"/>
      <c r="F37" s="196"/>
      <c r="G37" s="196"/>
      <c r="H37" s="196"/>
      <c r="I37" s="196"/>
      <c r="J37" s="62" t="s">
        <v>42</v>
      </c>
      <c r="K37" s="74"/>
      <c r="L37" s="75"/>
      <c r="M37" s="76"/>
      <c r="N37" s="71">
        <v>2.5</v>
      </c>
      <c r="O37" s="72">
        <v>1</v>
      </c>
      <c r="P37" s="72">
        <v>1</v>
      </c>
      <c r="Q37" s="72">
        <v>1</v>
      </c>
      <c r="R37" s="72">
        <v>1</v>
      </c>
      <c r="S37" s="135">
        <v>1</v>
      </c>
      <c r="T37" s="140">
        <f t="shared" si="2"/>
        <v>1</v>
      </c>
      <c r="U37" s="202"/>
      <c r="V37" s="105"/>
      <c r="AC37" s="117">
        <f t="shared" si="0"/>
        <v>2.5</v>
      </c>
      <c r="AD37" s="118">
        <f t="shared" si="1"/>
        <v>2.5</v>
      </c>
    </row>
    <row r="38" spans="1:30" ht="17.25" customHeight="1">
      <c r="A38" s="29">
        <v>17</v>
      </c>
      <c r="B38" s="195" t="s">
        <v>59</v>
      </c>
      <c r="C38" s="195"/>
      <c r="D38" s="195"/>
      <c r="E38" s="195"/>
      <c r="F38" s="195"/>
      <c r="G38" s="195"/>
      <c r="H38" s="195"/>
      <c r="I38" s="195"/>
      <c r="J38" s="62" t="s">
        <v>42</v>
      </c>
      <c r="K38" s="75"/>
      <c r="L38" s="75"/>
      <c r="M38" s="76"/>
      <c r="N38" s="71">
        <v>2.5</v>
      </c>
      <c r="O38" s="72">
        <v>1</v>
      </c>
      <c r="P38" s="72">
        <v>1</v>
      </c>
      <c r="Q38" s="72">
        <v>1</v>
      </c>
      <c r="R38" s="72">
        <v>1</v>
      </c>
      <c r="S38" s="135">
        <v>1</v>
      </c>
      <c r="T38" s="140">
        <f t="shared" si="2"/>
        <v>1</v>
      </c>
      <c r="U38" s="202"/>
      <c r="V38" s="105"/>
      <c r="AC38" s="117">
        <f t="shared" si="0"/>
        <v>2.5</v>
      </c>
      <c r="AD38" s="118">
        <f t="shared" si="1"/>
        <v>2.5</v>
      </c>
    </row>
    <row r="39" spans="1:30" ht="17" customHeight="1">
      <c r="A39" s="29">
        <v>18</v>
      </c>
      <c r="B39" s="195" t="s">
        <v>60</v>
      </c>
      <c r="C39" s="195"/>
      <c r="D39" s="195"/>
      <c r="E39" s="195"/>
      <c r="F39" s="195"/>
      <c r="G39" s="195"/>
      <c r="H39" s="195"/>
      <c r="I39" s="195"/>
      <c r="J39" s="62" t="s">
        <v>42</v>
      </c>
      <c r="K39" s="75"/>
      <c r="L39" s="62"/>
      <c r="M39" s="75"/>
      <c r="N39" s="71">
        <v>2.5</v>
      </c>
      <c r="O39" s="72">
        <v>1</v>
      </c>
      <c r="P39" s="72">
        <v>1</v>
      </c>
      <c r="Q39" s="72">
        <v>1</v>
      </c>
      <c r="R39" s="72">
        <v>1</v>
      </c>
      <c r="S39" s="135">
        <v>1</v>
      </c>
      <c r="T39" s="140">
        <f t="shared" si="2"/>
        <v>1</v>
      </c>
      <c r="U39" s="202"/>
      <c r="V39" s="105"/>
      <c r="AC39" s="117">
        <f t="shared" si="0"/>
        <v>2.5</v>
      </c>
      <c r="AD39" s="118">
        <f t="shared" si="1"/>
        <v>2.5</v>
      </c>
    </row>
    <row r="40" spans="1:30" ht="17.25" customHeight="1">
      <c r="A40" s="29">
        <v>19</v>
      </c>
      <c r="B40" s="195" t="s">
        <v>61</v>
      </c>
      <c r="C40" s="195"/>
      <c r="D40" s="195"/>
      <c r="E40" s="195"/>
      <c r="F40" s="195"/>
      <c r="G40" s="195"/>
      <c r="H40" s="195"/>
      <c r="I40" s="195"/>
      <c r="J40" s="62" t="s">
        <v>42</v>
      </c>
      <c r="K40" s="75"/>
      <c r="L40" s="75"/>
      <c r="M40" s="75"/>
      <c r="N40" s="71">
        <v>2.5</v>
      </c>
      <c r="O40" s="72">
        <v>1</v>
      </c>
      <c r="P40" s="72">
        <v>1</v>
      </c>
      <c r="Q40" s="72">
        <v>1</v>
      </c>
      <c r="R40" s="72">
        <v>1</v>
      </c>
      <c r="S40" s="135">
        <v>1</v>
      </c>
      <c r="T40" s="140">
        <f t="shared" si="2"/>
        <v>1</v>
      </c>
      <c r="U40" s="202"/>
      <c r="V40" s="105"/>
      <c r="AC40" s="117">
        <f t="shared" si="0"/>
        <v>2.5</v>
      </c>
      <c r="AD40" s="118">
        <f t="shared" si="1"/>
        <v>2.5</v>
      </c>
    </row>
    <row r="41" spans="1:30" ht="17.25" customHeight="1">
      <c r="A41" s="29">
        <v>20</v>
      </c>
      <c r="B41" s="195" t="s">
        <v>62</v>
      </c>
      <c r="C41" s="195"/>
      <c r="D41" s="195"/>
      <c r="E41" s="195"/>
      <c r="F41" s="195"/>
      <c r="G41" s="195"/>
      <c r="H41" s="195"/>
      <c r="I41" s="195"/>
      <c r="J41" s="62" t="s">
        <v>42</v>
      </c>
      <c r="K41" s="75"/>
      <c r="L41" s="75"/>
      <c r="M41" s="75"/>
      <c r="N41" s="71">
        <v>2.5</v>
      </c>
      <c r="O41" s="72">
        <v>1</v>
      </c>
      <c r="P41" s="72">
        <v>1</v>
      </c>
      <c r="Q41" s="72">
        <v>1</v>
      </c>
      <c r="R41" s="72">
        <v>1</v>
      </c>
      <c r="S41" s="135">
        <v>1</v>
      </c>
      <c r="T41" s="140">
        <f t="shared" si="2"/>
        <v>1</v>
      </c>
      <c r="U41" s="202"/>
      <c r="V41" s="105"/>
      <c r="AC41" s="117">
        <f t="shared" si="0"/>
        <v>2.5</v>
      </c>
      <c r="AD41" s="118">
        <f t="shared" si="1"/>
        <v>2.5</v>
      </c>
    </row>
    <row r="42" spans="1:30" ht="17.25" customHeight="1">
      <c r="A42" s="29">
        <v>21</v>
      </c>
      <c r="B42" s="195" t="s">
        <v>63</v>
      </c>
      <c r="C42" s="195"/>
      <c r="D42" s="195"/>
      <c r="E42" s="195"/>
      <c r="F42" s="195"/>
      <c r="G42" s="195"/>
      <c r="H42" s="195"/>
      <c r="I42" s="195"/>
      <c r="J42" s="62" t="s">
        <v>42</v>
      </c>
      <c r="K42" s="62"/>
      <c r="L42" s="75"/>
      <c r="M42" s="75"/>
      <c r="N42" s="71">
        <v>2.5</v>
      </c>
      <c r="O42" s="72">
        <v>1</v>
      </c>
      <c r="P42" s="72">
        <v>1</v>
      </c>
      <c r="Q42" s="72">
        <v>1</v>
      </c>
      <c r="R42" s="72">
        <v>1</v>
      </c>
      <c r="S42" s="135">
        <v>1</v>
      </c>
      <c r="T42" s="140">
        <f t="shared" si="2"/>
        <v>1</v>
      </c>
      <c r="U42" s="202"/>
      <c r="V42" s="105"/>
      <c r="AC42" s="117">
        <f t="shared" si="0"/>
        <v>2.5</v>
      </c>
      <c r="AD42" s="118">
        <f t="shared" si="1"/>
        <v>2.5</v>
      </c>
    </row>
    <row r="43" spans="1:30" ht="17.25" customHeight="1">
      <c r="A43" s="29">
        <v>22</v>
      </c>
      <c r="B43" s="195" t="s">
        <v>64</v>
      </c>
      <c r="C43" s="195"/>
      <c r="D43" s="195"/>
      <c r="E43" s="195"/>
      <c r="F43" s="195"/>
      <c r="G43" s="195"/>
      <c r="H43" s="195"/>
      <c r="I43" s="195"/>
      <c r="J43" s="62" t="s">
        <v>42</v>
      </c>
      <c r="K43" s="75"/>
      <c r="L43" s="74"/>
      <c r="M43" s="75"/>
      <c r="N43" s="71">
        <v>2.5</v>
      </c>
      <c r="O43" s="72">
        <v>1</v>
      </c>
      <c r="P43" s="72">
        <v>1</v>
      </c>
      <c r="Q43" s="72">
        <v>1</v>
      </c>
      <c r="R43" s="72">
        <v>1</v>
      </c>
      <c r="S43" s="135">
        <v>1</v>
      </c>
      <c r="T43" s="140">
        <f t="shared" si="2"/>
        <v>1</v>
      </c>
      <c r="U43" s="202"/>
      <c r="V43" s="105"/>
      <c r="AC43" s="117">
        <f t="shared" si="0"/>
        <v>2.5</v>
      </c>
      <c r="AD43" s="118">
        <f t="shared" si="1"/>
        <v>2.5</v>
      </c>
    </row>
    <row r="44" spans="1:30" ht="17.25" customHeight="1">
      <c r="A44" s="29">
        <v>23</v>
      </c>
      <c r="B44" s="195" t="s">
        <v>65</v>
      </c>
      <c r="C44" s="195"/>
      <c r="D44" s="195"/>
      <c r="E44" s="195"/>
      <c r="F44" s="195"/>
      <c r="G44" s="195"/>
      <c r="H44" s="195"/>
      <c r="I44" s="195"/>
      <c r="J44" s="62" t="s">
        <v>42</v>
      </c>
      <c r="K44" s="75"/>
      <c r="L44" s="75"/>
      <c r="M44" s="75"/>
      <c r="N44" s="71">
        <v>2.5</v>
      </c>
      <c r="O44" s="72">
        <v>1</v>
      </c>
      <c r="P44" s="72">
        <v>1</v>
      </c>
      <c r="Q44" s="72">
        <v>1</v>
      </c>
      <c r="R44" s="72">
        <v>1</v>
      </c>
      <c r="S44" s="135">
        <v>1</v>
      </c>
      <c r="T44" s="140">
        <f t="shared" si="2"/>
        <v>1</v>
      </c>
      <c r="U44" s="202"/>
      <c r="V44" s="105"/>
      <c r="AC44" s="117">
        <f t="shared" si="0"/>
        <v>2.5</v>
      </c>
      <c r="AD44" s="118">
        <f t="shared" si="1"/>
        <v>2.5</v>
      </c>
    </row>
    <row r="45" spans="1:30" ht="31" customHeight="1">
      <c r="A45" s="29">
        <v>24</v>
      </c>
      <c r="B45" s="196" t="s">
        <v>66</v>
      </c>
      <c r="C45" s="196"/>
      <c r="D45" s="196"/>
      <c r="E45" s="196"/>
      <c r="F45" s="196"/>
      <c r="G45" s="196"/>
      <c r="H45" s="196"/>
      <c r="I45" s="196"/>
      <c r="J45" s="75" t="s">
        <v>42</v>
      </c>
      <c r="K45" s="62"/>
      <c r="L45" s="75"/>
      <c r="M45" s="75"/>
      <c r="N45" s="71">
        <v>2.5</v>
      </c>
      <c r="O45" s="72">
        <v>1</v>
      </c>
      <c r="P45" s="72">
        <v>1</v>
      </c>
      <c r="Q45" s="72">
        <v>1</v>
      </c>
      <c r="R45" s="72">
        <v>1</v>
      </c>
      <c r="S45" s="135">
        <v>1</v>
      </c>
      <c r="T45" s="140">
        <f t="shared" si="2"/>
        <v>1</v>
      </c>
      <c r="U45" s="202"/>
      <c r="V45" s="105"/>
      <c r="AC45" s="117">
        <f t="shared" si="0"/>
        <v>2.5</v>
      </c>
      <c r="AD45" s="118">
        <f t="shared" si="1"/>
        <v>2.5</v>
      </c>
    </row>
    <row r="46" spans="1:30" ht="29" customHeight="1">
      <c r="A46" s="30">
        <v>25</v>
      </c>
      <c r="B46" s="197" t="s">
        <v>67</v>
      </c>
      <c r="C46" s="197"/>
      <c r="D46" s="197"/>
      <c r="E46" s="197"/>
      <c r="F46" s="197"/>
      <c r="G46" s="197"/>
      <c r="H46" s="197"/>
      <c r="I46" s="197"/>
      <c r="J46" s="62" t="s">
        <v>42</v>
      </c>
      <c r="K46" s="77"/>
      <c r="L46" s="77"/>
      <c r="M46" s="77"/>
      <c r="N46" s="71">
        <v>2.5</v>
      </c>
      <c r="O46" s="72">
        <v>1</v>
      </c>
      <c r="P46" s="72">
        <v>1</v>
      </c>
      <c r="Q46" s="72">
        <v>1</v>
      </c>
      <c r="R46" s="72">
        <v>1</v>
      </c>
      <c r="S46" s="135">
        <v>1</v>
      </c>
      <c r="T46" s="141">
        <f t="shared" si="2"/>
        <v>1</v>
      </c>
      <c r="U46" s="204"/>
      <c r="V46" s="105"/>
      <c r="AC46" s="117">
        <f t="shared" si="0"/>
        <v>2.5</v>
      </c>
      <c r="AD46" s="118">
        <f t="shared" si="1"/>
        <v>2.5</v>
      </c>
    </row>
    <row r="47" spans="1:30" ht="24.75" customHeight="1">
      <c r="A47" s="219" t="s">
        <v>68</v>
      </c>
      <c r="B47" s="220"/>
      <c r="C47" s="220"/>
      <c r="D47" s="220"/>
      <c r="E47" s="220"/>
      <c r="F47" s="220"/>
      <c r="G47" s="220"/>
      <c r="H47" s="220"/>
      <c r="I47" s="220"/>
      <c r="J47" s="220"/>
      <c r="K47" s="220"/>
      <c r="L47" s="220"/>
      <c r="M47" s="220"/>
      <c r="N47" s="220"/>
      <c r="O47" s="220"/>
      <c r="P47" s="220"/>
      <c r="Q47" s="220"/>
      <c r="R47" s="220"/>
      <c r="S47" s="220"/>
      <c r="T47" s="220"/>
      <c r="U47" s="102">
        <v>20</v>
      </c>
      <c r="V47" s="105"/>
      <c r="AC47" s="117" t="b">
        <f t="shared" si="0"/>
        <v>0</v>
      </c>
      <c r="AD47" s="118">
        <f t="shared" si="1"/>
        <v>0</v>
      </c>
    </row>
    <row r="48" spans="1:30" ht="51" customHeight="1">
      <c r="A48" s="31">
        <v>26</v>
      </c>
      <c r="B48" s="221" t="s">
        <v>69</v>
      </c>
      <c r="C48" s="221"/>
      <c r="D48" s="221"/>
      <c r="E48" s="221"/>
      <c r="F48" s="221"/>
      <c r="G48" s="221"/>
      <c r="H48" s="221"/>
      <c r="I48" s="221"/>
      <c r="J48" s="62" t="s">
        <v>42</v>
      </c>
      <c r="K48" s="62"/>
      <c r="L48" s="62"/>
      <c r="M48" s="62"/>
      <c r="N48" s="78">
        <v>4</v>
      </c>
      <c r="O48" s="72">
        <v>1</v>
      </c>
      <c r="P48" s="72">
        <v>1</v>
      </c>
      <c r="Q48" s="72">
        <v>1</v>
      </c>
      <c r="R48" s="72">
        <v>1</v>
      </c>
      <c r="S48" s="135">
        <v>1</v>
      </c>
      <c r="T48" s="139">
        <f>AVERAGE(O48:S48)</f>
        <v>1</v>
      </c>
      <c r="U48" s="205">
        <f>IF(SUM(N48:N52)&lt;&gt;U47,"AJUSTAR PONDERACION",IF(SUM(AD48:AD52)=0,"",IF(SUM(AC48:AC52)=U47,IF(SUM(N48:N52)=U47,SUM(AD48:AD52),"Ajustar ponderacion"),"Ajustar ponderacion")))</f>
        <v>20</v>
      </c>
      <c r="V48" s="105"/>
      <c r="AC48" s="117">
        <f t="shared" si="0"/>
        <v>4</v>
      </c>
      <c r="AD48" s="118">
        <f t="shared" si="1"/>
        <v>4</v>
      </c>
    </row>
    <row r="49" spans="1:30" ht="46" customHeight="1">
      <c r="A49" s="29">
        <v>27</v>
      </c>
      <c r="B49" s="196" t="s">
        <v>70</v>
      </c>
      <c r="C49" s="196"/>
      <c r="D49" s="196"/>
      <c r="E49" s="196"/>
      <c r="F49" s="196"/>
      <c r="G49" s="196"/>
      <c r="H49" s="196"/>
      <c r="I49" s="196"/>
      <c r="J49" s="75" t="s">
        <v>42</v>
      </c>
      <c r="K49" s="75"/>
      <c r="L49" s="75"/>
      <c r="M49" s="75"/>
      <c r="N49" s="78">
        <v>4</v>
      </c>
      <c r="O49" s="72">
        <v>1</v>
      </c>
      <c r="P49" s="72">
        <v>1</v>
      </c>
      <c r="Q49" s="72">
        <v>1</v>
      </c>
      <c r="R49" s="72">
        <v>1</v>
      </c>
      <c r="S49" s="135">
        <v>1</v>
      </c>
      <c r="T49" s="140">
        <f>AVERAGE(O49:S49)</f>
        <v>1</v>
      </c>
      <c r="U49" s="206"/>
      <c r="V49" s="105"/>
      <c r="AC49" s="117">
        <f t="shared" si="0"/>
        <v>4</v>
      </c>
      <c r="AD49" s="118">
        <f t="shared" si="1"/>
        <v>4</v>
      </c>
    </row>
    <row r="50" spans="1:30" ht="34" customHeight="1">
      <c r="A50" s="29">
        <v>28</v>
      </c>
      <c r="B50" s="196" t="s">
        <v>71</v>
      </c>
      <c r="C50" s="196"/>
      <c r="D50" s="196"/>
      <c r="E50" s="196"/>
      <c r="F50" s="196"/>
      <c r="G50" s="196"/>
      <c r="H50" s="196"/>
      <c r="I50" s="196"/>
      <c r="J50" s="75" t="s">
        <v>42</v>
      </c>
      <c r="K50" s="75"/>
      <c r="L50" s="75"/>
      <c r="M50" s="75"/>
      <c r="N50" s="78">
        <v>4</v>
      </c>
      <c r="O50" s="72">
        <v>1</v>
      </c>
      <c r="P50" s="72">
        <v>1</v>
      </c>
      <c r="Q50" s="72">
        <v>1</v>
      </c>
      <c r="R50" s="72">
        <v>1</v>
      </c>
      <c r="S50" s="135">
        <v>1</v>
      </c>
      <c r="T50" s="140">
        <f>AVERAGE(O50:S50)</f>
        <v>1</v>
      </c>
      <c r="U50" s="206"/>
      <c r="V50" s="105"/>
      <c r="AC50" s="117">
        <f t="shared" si="0"/>
        <v>4</v>
      </c>
      <c r="AD50" s="118">
        <f t="shared" si="1"/>
        <v>4</v>
      </c>
    </row>
    <row r="51" spans="1:30" ht="24.75" customHeight="1">
      <c r="A51" s="29">
        <v>29</v>
      </c>
      <c r="B51" s="196" t="s">
        <v>72</v>
      </c>
      <c r="C51" s="196"/>
      <c r="D51" s="196"/>
      <c r="E51" s="196"/>
      <c r="F51" s="196"/>
      <c r="G51" s="196"/>
      <c r="H51" s="196"/>
      <c r="I51" s="196"/>
      <c r="J51" s="75" t="s">
        <v>42</v>
      </c>
      <c r="K51" s="75"/>
      <c r="L51" s="75"/>
      <c r="M51" s="75"/>
      <c r="N51" s="78">
        <v>4</v>
      </c>
      <c r="O51" s="72">
        <v>1</v>
      </c>
      <c r="P51" s="72">
        <v>1</v>
      </c>
      <c r="Q51" s="72">
        <v>1</v>
      </c>
      <c r="R51" s="72">
        <v>1</v>
      </c>
      <c r="S51" s="135">
        <v>1</v>
      </c>
      <c r="T51" s="140">
        <f>AVERAGE(O51:S51)</f>
        <v>1</v>
      </c>
      <c r="U51" s="206"/>
      <c r="V51" s="105"/>
      <c r="AC51" s="117">
        <f t="shared" si="0"/>
        <v>4</v>
      </c>
      <c r="AD51" s="118">
        <f t="shared" si="1"/>
        <v>4</v>
      </c>
    </row>
    <row r="52" spans="1:30" ht="24.75" customHeight="1">
      <c r="A52" s="30">
        <v>27</v>
      </c>
      <c r="B52" s="197" t="s">
        <v>73</v>
      </c>
      <c r="C52" s="197"/>
      <c r="D52" s="197"/>
      <c r="E52" s="197"/>
      <c r="F52" s="197"/>
      <c r="G52" s="197"/>
      <c r="H52" s="197"/>
      <c r="I52" s="197"/>
      <c r="J52" s="77" t="s">
        <v>42</v>
      </c>
      <c r="K52" s="77"/>
      <c r="L52" s="77"/>
      <c r="M52" s="77"/>
      <c r="N52" s="78">
        <v>4</v>
      </c>
      <c r="O52" s="72">
        <v>1</v>
      </c>
      <c r="P52" s="72">
        <v>1</v>
      </c>
      <c r="Q52" s="72">
        <v>1</v>
      </c>
      <c r="R52" s="72">
        <v>1</v>
      </c>
      <c r="S52" s="135">
        <v>1</v>
      </c>
      <c r="T52" s="141">
        <f>AVERAGE(O52:S52)</f>
        <v>1</v>
      </c>
      <c r="U52" s="206"/>
      <c r="V52" s="105"/>
      <c r="AC52" s="117">
        <f t="shared" si="0"/>
        <v>4</v>
      </c>
      <c r="AD52" s="118">
        <f t="shared" si="1"/>
        <v>4</v>
      </c>
    </row>
    <row r="53" spans="1:30" ht="24.75" customHeight="1">
      <c r="A53" s="211" t="s">
        <v>74</v>
      </c>
      <c r="B53" s="212"/>
      <c r="C53" s="212"/>
      <c r="D53" s="212"/>
      <c r="E53" s="212"/>
      <c r="F53" s="212"/>
      <c r="G53" s="212"/>
      <c r="H53" s="212"/>
      <c r="I53" s="212"/>
      <c r="J53" s="212"/>
      <c r="K53" s="212"/>
      <c r="L53" s="212"/>
      <c r="M53" s="212"/>
      <c r="N53" s="212"/>
      <c r="O53" s="212"/>
      <c r="P53" s="212"/>
      <c r="Q53" s="212"/>
      <c r="R53" s="212"/>
      <c r="S53" s="212"/>
      <c r="T53" s="212"/>
      <c r="U53" s="111">
        <v>10</v>
      </c>
      <c r="V53" s="105"/>
      <c r="AC53" s="117" t="b">
        <f t="shared" si="0"/>
        <v>0</v>
      </c>
      <c r="AD53" s="118">
        <f t="shared" si="1"/>
        <v>0</v>
      </c>
    </row>
    <row r="54" spans="1:30" ht="39" customHeight="1">
      <c r="A54" s="33">
        <v>28</v>
      </c>
      <c r="B54" s="213" t="s">
        <v>75</v>
      </c>
      <c r="C54" s="213"/>
      <c r="D54" s="213"/>
      <c r="E54" s="213"/>
      <c r="F54" s="213"/>
      <c r="G54" s="213"/>
      <c r="H54" s="213"/>
      <c r="I54" s="213"/>
      <c r="J54" s="79" t="s">
        <v>42</v>
      </c>
      <c r="K54" s="79"/>
      <c r="L54" s="79"/>
      <c r="M54" s="79"/>
      <c r="N54" s="80">
        <v>10</v>
      </c>
      <c r="O54" s="81">
        <v>1</v>
      </c>
      <c r="P54" s="81">
        <v>1</v>
      </c>
      <c r="Q54" s="81">
        <v>1</v>
      </c>
      <c r="R54" s="81">
        <v>1</v>
      </c>
      <c r="S54" s="142">
        <v>1</v>
      </c>
      <c r="T54" s="143">
        <f>AVERAGE(O54:S54)</f>
        <v>1</v>
      </c>
      <c r="U54" s="109">
        <f>IF(SUM(N54)&lt;&gt;U53,"ajustar ponderacion",IF(SUM(AD54)=0,"",IF(SUM(AC54)=U53,IF(SUM(N54)=U53,SUM(U53),"ajustar ponderacion"),"ajustar ponderacion")))</f>
        <v>10</v>
      </c>
      <c r="V54" s="105"/>
      <c r="AC54" s="117">
        <f t="shared" si="0"/>
        <v>10</v>
      </c>
      <c r="AD54" s="119">
        <f t="shared" si="1"/>
        <v>10</v>
      </c>
    </row>
    <row r="55" spans="1:30" ht="17.25" customHeight="1">
      <c r="A55" s="214" t="s">
        <v>76</v>
      </c>
      <c r="B55" s="215"/>
      <c r="C55" s="215"/>
      <c r="D55" s="215"/>
      <c r="E55" s="215"/>
      <c r="F55" s="215"/>
      <c r="G55" s="215"/>
      <c r="H55" s="215"/>
      <c r="I55" s="215"/>
      <c r="J55" s="215"/>
      <c r="K55" s="215"/>
      <c r="L55" s="215"/>
      <c r="M55" s="215"/>
      <c r="N55" s="215"/>
      <c r="O55" s="215"/>
      <c r="P55" s="215"/>
      <c r="Q55" s="215"/>
      <c r="R55" s="215"/>
      <c r="S55" s="215"/>
      <c r="T55" s="216"/>
      <c r="U55" s="146">
        <f>IFERROR(U21+U27+U48+U54,"revise el formulario")</f>
        <v>97.6</v>
      </c>
      <c r="V55" s="105"/>
      <c r="AC55" s="117"/>
      <c r="AD55" s="118"/>
    </row>
    <row r="56" spans="1:30" ht="17.25" customHeight="1">
      <c r="A56" s="199">
        <v>29</v>
      </c>
      <c r="B56" s="191" t="s">
        <v>77</v>
      </c>
      <c r="C56" s="192"/>
      <c r="D56" s="185" t="s">
        <v>78</v>
      </c>
      <c r="E56" s="186"/>
      <c r="F56" s="186"/>
      <c r="G56" s="186"/>
      <c r="H56" s="186"/>
      <c r="I56" s="186"/>
      <c r="J56" s="186"/>
      <c r="K56" s="186"/>
      <c r="L56" s="186"/>
      <c r="M56" s="186"/>
      <c r="N56" s="186"/>
      <c r="O56" s="186"/>
      <c r="P56" s="186"/>
      <c r="Q56" s="186"/>
      <c r="R56" s="186"/>
      <c r="S56" s="186"/>
      <c r="T56" s="186"/>
      <c r="U56" s="187"/>
      <c r="V56" s="105"/>
      <c r="AC56" s="120"/>
      <c r="AD56" s="118"/>
    </row>
    <row r="57" spans="1:30" s="2" customFormat="1" ht="110" customHeight="1">
      <c r="A57" s="200"/>
      <c r="B57" s="193"/>
      <c r="C57" s="194"/>
      <c r="D57" s="188"/>
      <c r="E57" s="189"/>
      <c r="F57" s="189"/>
      <c r="G57" s="189"/>
      <c r="H57" s="189"/>
      <c r="I57" s="189"/>
      <c r="J57" s="189"/>
      <c r="K57" s="189"/>
      <c r="L57" s="189"/>
      <c r="M57" s="189"/>
      <c r="N57" s="189"/>
      <c r="O57" s="189"/>
      <c r="P57" s="189"/>
      <c r="Q57" s="189"/>
      <c r="R57" s="189"/>
      <c r="S57" s="189"/>
      <c r="T57" s="189"/>
      <c r="U57" s="190"/>
      <c r="V57" s="115"/>
      <c r="AC57" s="116"/>
      <c r="AD57" s="118"/>
    </row>
    <row r="58" spans="1:30" s="2" customFormat="1">
      <c r="A58" s="34" t="s">
        <v>79</v>
      </c>
      <c r="B58" s="35"/>
      <c r="C58" s="35"/>
      <c r="D58" s="35"/>
      <c r="E58" s="35"/>
      <c r="F58" s="35"/>
      <c r="G58" s="35"/>
      <c r="H58" s="35"/>
      <c r="I58" s="35"/>
      <c r="J58" s="35"/>
      <c r="K58" s="35"/>
      <c r="L58" s="35"/>
      <c r="M58" s="35"/>
      <c r="N58" s="82"/>
      <c r="O58" s="82"/>
      <c r="P58" s="82"/>
      <c r="Q58" s="82"/>
      <c r="R58" s="82"/>
      <c r="S58" s="82"/>
      <c r="T58" s="82"/>
      <c r="U58" s="115"/>
      <c r="V58" s="115"/>
      <c r="AC58" s="116"/>
      <c r="AD58" s="118"/>
    </row>
    <row r="59" spans="1:30">
      <c r="A59" s="36"/>
      <c r="B59" s="37"/>
      <c r="C59" s="37"/>
      <c r="D59" s="37"/>
      <c r="E59" s="37"/>
      <c r="F59" s="37"/>
      <c r="G59" s="37"/>
      <c r="H59" s="37"/>
      <c r="I59" s="37"/>
      <c r="J59" s="37"/>
      <c r="K59" s="37"/>
      <c r="L59" s="37"/>
      <c r="M59" s="37"/>
      <c r="N59" s="41"/>
      <c r="O59" s="41"/>
      <c r="P59" s="41"/>
      <c r="Q59" s="41"/>
      <c r="R59" s="41"/>
      <c r="S59" s="41"/>
      <c r="T59" s="41"/>
      <c r="U59" s="105"/>
      <c r="V59" s="105"/>
      <c r="AC59" s="118"/>
      <c r="AD59" s="118"/>
    </row>
    <row r="60" spans="1:30">
      <c r="A60" s="36"/>
      <c r="B60" s="37"/>
      <c r="C60" s="37"/>
      <c r="D60" s="37"/>
      <c r="E60" s="37"/>
      <c r="F60" s="37"/>
      <c r="G60" s="37"/>
      <c r="H60" s="37"/>
      <c r="I60" s="37"/>
      <c r="J60" s="37"/>
      <c r="K60" s="37"/>
      <c r="L60" s="37"/>
      <c r="M60" s="37"/>
      <c r="N60" s="41"/>
      <c r="O60" s="41"/>
      <c r="P60" s="41"/>
      <c r="Q60" s="41"/>
      <c r="R60" s="41"/>
      <c r="S60" s="41"/>
      <c r="T60" s="41"/>
      <c r="U60" s="105"/>
      <c r="V60" s="105"/>
    </row>
    <row r="61" spans="1:30">
      <c r="A61" s="36"/>
      <c r="B61" s="37"/>
      <c r="C61" s="37"/>
      <c r="D61" s="37"/>
      <c r="E61" s="37"/>
      <c r="F61" s="37"/>
      <c r="G61" s="37"/>
      <c r="H61" s="37"/>
      <c r="I61" s="37"/>
      <c r="J61" s="37"/>
      <c r="K61" s="37"/>
      <c r="L61" s="37"/>
      <c r="M61" s="37"/>
      <c r="N61" s="41"/>
      <c r="O61" s="41"/>
      <c r="P61" s="41"/>
      <c r="Q61" s="41"/>
      <c r="R61" s="41"/>
      <c r="S61" s="41"/>
      <c r="T61" s="41"/>
      <c r="U61" s="105"/>
      <c r="V61" s="105"/>
    </row>
    <row r="62" spans="1:30">
      <c r="A62" s="36"/>
      <c r="B62" s="37"/>
      <c r="C62" s="37"/>
      <c r="D62" s="37"/>
      <c r="E62" s="37"/>
      <c r="F62" s="37"/>
      <c r="G62" s="37"/>
      <c r="H62" s="37"/>
      <c r="I62" s="37"/>
      <c r="J62" s="37"/>
      <c r="K62" s="37"/>
      <c r="L62" s="37"/>
      <c r="M62" s="37"/>
      <c r="N62" s="41"/>
      <c r="O62" s="41"/>
      <c r="P62" s="41"/>
      <c r="Q62" s="41"/>
      <c r="R62" s="41"/>
      <c r="S62" s="41"/>
      <c r="T62" s="41"/>
      <c r="U62" s="105"/>
      <c r="V62" s="105"/>
    </row>
    <row r="63" spans="1:30">
      <c r="A63" s="38"/>
      <c r="B63" s="217"/>
      <c r="C63" s="217"/>
      <c r="D63" s="217"/>
      <c r="E63" s="217"/>
      <c r="F63" s="40"/>
      <c r="G63" s="41"/>
      <c r="H63" s="41"/>
      <c r="I63" s="218"/>
      <c r="J63" s="218"/>
      <c r="K63" s="218"/>
      <c r="L63" s="41"/>
      <c r="M63" s="41"/>
      <c r="N63" s="41"/>
      <c r="O63" s="41"/>
      <c r="P63" s="41"/>
      <c r="Q63" s="41"/>
      <c r="R63" s="41"/>
      <c r="S63" s="41"/>
      <c r="T63" s="41"/>
      <c r="U63" s="105"/>
      <c r="V63" s="105"/>
    </row>
    <row r="64" spans="1:30" ht="14.5" customHeight="1">
      <c r="A64" s="38"/>
      <c r="B64" s="39" t="s">
        <v>80</v>
      </c>
      <c r="C64" s="42"/>
      <c r="D64" s="42"/>
      <c r="E64" s="42"/>
      <c r="F64" s="40"/>
      <c r="G64" s="41"/>
      <c r="H64" s="41"/>
      <c r="I64" s="207" t="s">
        <v>81</v>
      </c>
      <c r="J64" s="207"/>
      <c r="K64" s="207"/>
      <c r="L64" s="207"/>
      <c r="M64" s="41"/>
      <c r="N64" s="41"/>
      <c r="O64" s="41"/>
      <c r="P64" s="41"/>
      <c r="Q64" s="41"/>
      <c r="R64" s="41"/>
      <c r="S64" s="41"/>
      <c r="T64" s="41"/>
      <c r="U64" s="105"/>
      <c r="V64" s="105"/>
    </row>
    <row r="65" spans="1:22" ht="15" customHeight="1">
      <c r="A65" s="38"/>
      <c r="B65" s="208" t="s">
        <v>82</v>
      </c>
      <c r="C65" s="209"/>
      <c r="D65" s="209"/>
      <c r="E65" s="209"/>
      <c r="F65" s="37"/>
      <c r="G65" s="121"/>
      <c r="H65" s="121"/>
      <c r="I65" s="208" t="s">
        <v>82</v>
      </c>
      <c r="J65" s="209"/>
      <c r="K65" s="209"/>
      <c r="L65" s="209"/>
      <c r="M65" s="125"/>
      <c r="N65" s="41"/>
      <c r="O65" s="41"/>
      <c r="P65" s="41"/>
      <c r="Q65" s="41"/>
      <c r="R65" s="41"/>
      <c r="S65" s="41"/>
      <c r="T65" s="41"/>
      <c r="U65" s="105"/>
      <c r="V65" s="105"/>
    </row>
    <row r="66" spans="1:22" ht="15" customHeight="1">
      <c r="A66" s="38"/>
      <c r="B66" s="210" t="s">
        <v>83</v>
      </c>
      <c r="C66" s="209"/>
      <c r="D66" s="209"/>
      <c r="E66" s="209"/>
      <c r="F66" s="37"/>
      <c r="G66" s="121"/>
      <c r="H66" s="121"/>
      <c r="I66" s="210" t="s">
        <v>84</v>
      </c>
      <c r="J66" s="209"/>
      <c r="K66" s="209"/>
      <c r="L66" s="209"/>
      <c r="M66" s="125"/>
      <c r="N66" s="41"/>
      <c r="O66" s="41"/>
      <c r="P66" s="41"/>
      <c r="Q66" s="41"/>
      <c r="R66" s="41"/>
      <c r="S66" s="41"/>
      <c r="T66" s="41"/>
      <c r="U66" s="105"/>
      <c r="V66" s="105"/>
    </row>
    <row r="67" spans="1:22" ht="15">
      <c r="A67" s="122"/>
      <c r="B67" s="198"/>
      <c r="C67" s="198"/>
      <c r="D67" s="198"/>
      <c r="E67" s="198"/>
      <c r="F67" s="123"/>
      <c r="G67" s="124"/>
      <c r="H67" s="124"/>
      <c r="I67" s="198"/>
      <c r="J67" s="198"/>
      <c r="K67" s="198"/>
      <c r="L67" s="124"/>
      <c r="M67" s="124"/>
      <c r="N67" s="126"/>
      <c r="O67" s="126"/>
      <c r="P67" s="126"/>
      <c r="Q67" s="126"/>
      <c r="R67" s="126"/>
      <c r="S67" s="126"/>
      <c r="T67" s="126"/>
      <c r="U67" s="127"/>
      <c r="V67" s="127"/>
    </row>
  </sheetData>
  <mergeCells count="82">
    <mergeCell ref="N5:P5"/>
    <mergeCell ref="Q5:R5"/>
    <mergeCell ref="T5:U5"/>
    <mergeCell ref="A8:D8"/>
    <mergeCell ref="G8:H8"/>
    <mergeCell ref="I8:J8"/>
    <mergeCell ref="P8:Q8"/>
    <mergeCell ref="U8:V8"/>
    <mergeCell ref="A10:C10"/>
    <mergeCell ref="D10:I10"/>
    <mergeCell ref="A11:C11"/>
    <mergeCell ref="D11:I11"/>
    <mergeCell ref="A12:C12"/>
    <mergeCell ref="D12:I12"/>
    <mergeCell ref="A13:C13"/>
    <mergeCell ref="D13:I13"/>
    <mergeCell ref="A14:C14"/>
    <mergeCell ref="D14:I14"/>
    <mergeCell ref="L14:M14"/>
    <mergeCell ref="A15:C15"/>
    <mergeCell ref="D15:I15"/>
    <mergeCell ref="L15:M15"/>
    <mergeCell ref="A16:C16"/>
    <mergeCell ref="D16:I16"/>
    <mergeCell ref="A17:C17"/>
    <mergeCell ref="D17:I17"/>
    <mergeCell ref="B19:I19"/>
    <mergeCell ref="A20:T20"/>
    <mergeCell ref="B21:I21"/>
    <mergeCell ref="B22:I22"/>
    <mergeCell ref="B23:I23"/>
    <mergeCell ref="B24:I24"/>
    <mergeCell ref="B25:I25"/>
    <mergeCell ref="A26:T26"/>
    <mergeCell ref="B27:I27"/>
    <mergeCell ref="B28:I28"/>
    <mergeCell ref="B29:I29"/>
    <mergeCell ref="B30:I30"/>
    <mergeCell ref="B31:I31"/>
    <mergeCell ref="B32:I32"/>
    <mergeCell ref="B33:I33"/>
    <mergeCell ref="B34:I34"/>
    <mergeCell ref="B35:I35"/>
    <mergeCell ref="B36:I36"/>
    <mergeCell ref="I63:K63"/>
    <mergeCell ref="A47:T47"/>
    <mergeCell ref="B48:I48"/>
    <mergeCell ref="B49:I49"/>
    <mergeCell ref="B50:I50"/>
    <mergeCell ref="B51:I51"/>
    <mergeCell ref="B67:E67"/>
    <mergeCell ref="I67:K67"/>
    <mergeCell ref="A56:A57"/>
    <mergeCell ref="U21:U25"/>
    <mergeCell ref="U27:U46"/>
    <mergeCell ref="U48:U52"/>
    <mergeCell ref="I64:L64"/>
    <mergeCell ref="B65:E65"/>
    <mergeCell ref="I65:L65"/>
    <mergeCell ref="B66:E66"/>
    <mergeCell ref="I66:L66"/>
    <mergeCell ref="B52:I52"/>
    <mergeCell ref="A53:T53"/>
    <mergeCell ref="B54:I54"/>
    <mergeCell ref="A55:T55"/>
    <mergeCell ref="B63:E63"/>
    <mergeCell ref="K1:M3"/>
    <mergeCell ref="T1:V3"/>
    <mergeCell ref="A1:C3"/>
    <mergeCell ref="D1:J3"/>
    <mergeCell ref="D56:U57"/>
    <mergeCell ref="B56:C57"/>
    <mergeCell ref="B42:I42"/>
    <mergeCell ref="B43:I43"/>
    <mergeCell ref="B44:I44"/>
    <mergeCell ref="B45:I45"/>
    <mergeCell ref="B46:I46"/>
    <mergeCell ref="B37:I37"/>
    <mergeCell ref="B38:I38"/>
    <mergeCell ref="B39:I39"/>
    <mergeCell ref="B40:I40"/>
    <mergeCell ref="B41:I41"/>
  </mergeCells>
  <pageMargins left="0.31496062992126" right="0.31496062992126" top="0.55118110236220497" bottom="0.55118110236220497" header="0.31496062992126" footer="0.31496062992126"/>
  <pageSetup scale="4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pageSetUpPr fitToPage="1"/>
  </sheetPr>
  <dimension ref="A1:AF67"/>
  <sheetViews>
    <sheetView showGridLines="0" view="pageBreakPreview" zoomScale="70" zoomScaleNormal="120" zoomScalePageLayoutView="70" workbookViewId="0">
      <selection activeCell="D58" sqref="D58"/>
    </sheetView>
  </sheetViews>
  <sheetFormatPr baseColWidth="10" defaultColWidth="11.453125" defaultRowHeight="14"/>
  <cols>
    <col min="1" max="1" width="3.453125" style="3" customWidth="1"/>
    <col min="2" max="2" width="11.453125" style="3"/>
    <col min="3" max="3" width="14.36328125" style="3" customWidth="1"/>
    <col min="4" max="4" width="8.81640625" style="3" customWidth="1"/>
    <col min="5" max="6" width="11.6328125" style="3" customWidth="1"/>
    <col min="7" max="8" width="11.453125" style="3"/>
    <col min="9" max="9" width="6.453125" style="3" customWidth="1"/>
    <col min="10" max="10" width="9.1796875" style="3" customWidth="1"/>
    <col min="11" max="11" width="8.6328125" style="3" customWidth="1"/>
    <col min="12" max="12" width="12.453125" style="3" customWidth="1"/>
    <col min="13" max="13" width="13.36328125" style="3" customWidth="1"/>
    <col min="14" max="14" width="17.81640625" style="3" customWidth="1"/>
    <col min="15" max="15" width="13.81640625" style="3" customWidth="1"/>
    <col min="16" max="19" width="11.453125" style="3" customWidth="1"/>
    <col min="20" max="20" width="10.81640625" style="3" customWidth="1"/>
    <col min="21" max="21" width="12.81640625" style="3" customWidth="1"/>
    <col min="22" max="22" width="0.81640625" style="3" customWidth="1"/>
    <col min="23" max="16384" width="11.453125" style="3"/>
  </cols>
  <sheetData>
    <row r="1" spans="1:22" s="1" customFormat="1" ht="22" customHeight="1">
      <c r="A1" s="167"/>
      <c r="B1" s="168"/>
      <c r="C1" s="169"/>
      <c r="D1" s="176" t="s">
        <v>0</v>
      </c>
      <c r="E1" s="177"/>
      <c r="F1" s="177"/>
      <c r="G1" s="177"/>
      <c r="H1" s="177"/>
      <c r="I1" s="177"/>
      <c r="J1" s="178"/>
      <c r="K1" s="156" t="s">
        <v>1</v>
      </c>
      <c r="L1" s="156"/>
      <c r="M1" s="157"/>
      <c r="N1" s="43"/>
      <c r="O1" s="43"/>
      <c r="P1" s="43"/>
      <c r="Q1" s="43"/>
      <c r="R1" s="43"/>
      <c r="S1" s="43"/>
      <c r="T1" s="162"/>
      <c r="U1" s="163"/>
      <c r="V1" s="164"/>
    </row>
    <row r="2" spans="1:22" s="1" customFormat="1" ht="22" customHeight="1">
      <c r="A2" s="170"/>
      <c r="B2" s="171"/>
      <c r="C2" s="172"/>
      <c r="D2" s="179"/>
      <c r="E2" s="180"/>
      <c r="F2" s="180"/>
      <c r="G2" s="180"/>
      <c r="H2" s="180"/>
      <c r="I2" s="180"/>
      <c r="J2" s="181"/>
      <c r="K2" s="158"/>
      <c r="L2" s="158"/>
      <c r="M2" s="159"/>
      <c r="N2" s="44"/>
      <c r="O2" s="44"/>
      <c r="P2" s="44"/>
      <c r="Q2" s="44"/>
      <c r="R2" s="44"/>
      <c r="S2" s="44"/>
      <c r="T2" s="165"/>
      <c r="U2" s="165"/>
      <c r="V2" s="166"/>
    </row>
    <row r="3" spans="1:22" s="1" customFormat="1" ht="22" customHeight="1">
      <c r="A3" s="173"/>
      <c r="B3" s="174"/>
      <c r="C3" s="175"/>
      <c r="D3" s="182"/>
      <c r="E3" s="183"/>
      <c r="F3" s="183"/>
      <c r="G3" s="183"/>
      <c r="H3" s="183"/>
      <c r="I3" s="183"/>
      <c r="J3" s="184"/>
      <c r="K3" s="160"/>
      <c r="L3" s="160"/>
      <c r="M3" s="161"/>
      <c r="N3" s="44"/>
      <c r="O3" s="44"/>
      <c r="P3" s="44"/>
      <c r="Q3" s="44"/>
      <c r="R3" s="44"/>
      <c r="S3" s="44"/>
      <c r="T3" s="165"/>
      <c r="U3" s="165"/>
      <c r="V3" s="166"/>
    </row>
    <row r="4" spans="1:22" s="1" customFormat="1" ht="12.75" customHeight="1">
      <c r="A4" s="4"/>
      <c r="C4" s="46"/>
      <c r="D4" s="46"/>
      <c r="E4" s="46"/>
      <c r="F4" s="46"/>
      <c r="G4" s="46"/>
      <c r="H4" s="46"/>
      <c r="I4" s="46"/>
      <c r="J4" s="46"/>
      <c r="K4" s="46"/>
      <c r="L4" s="46"/>
      <c r="M4" s="45"/>
      <c r="N4" s="46"/>
      <c r="O4" s="46"/>
      <c r="P4" s="46"/>
      <c r="Q4" s="46"/>
      <c r="R4" s="131"/>
      <c r="S4" s="131"/>
      <c r="T4" s="51"/>
      <c r="V4" s="83"/>
    </row>
    <row r="5" spans="1:22" s="1" customFormat="1" ht="31" customHeight="1">
      <c r="A5" s="4"/>
      <c r="B5" s="7" t="s">
        <v>2</v>
      </c>
      <c r="C5" s="7" t="s">
        <v>3</v>
      </c>
      <c r="D5" s="49"/>
      <c r="E5" s="7" t="s">
        <v>4</v>
      </c>
      <c r="F5" s="7" t="s">
        <v>5</v>
      </c>
      <c r="H5" s="9" t="s">
        <v>6</v>
      </c>
      <c r="I5" s="47">
        <v>2</v>
      </c>
      <c r="K5" s="9" t="s">
        <v>7</v>
      </c>
      <c r="L5" s="47" t="s">
        <v>8</v>
      </c>
      <c r="M5" s="48"/>
      <c r="N5" s="240"/>
      <c r="O5" s="240"/>
      <c r="P5" s="240"/>
      <c r="Q5" s="241"/>
      <c r="R5" s="241"/>
      <c r="S5" s="132"/>
      <c r="T5" s="240"/>
      <c r="U5" s="240"/>
      <c r="V5" s="83"/>
    </row>
    <row r="6" spans="1:22" s="1" customFormat="1" ht="24" customHeight="1">
      <c r="A6" s="10"/>
      <c r="B6" s="11"/>
      <c r="C6" s="12"/>
      <c r="D6" s="12"/>
      <c r="E6" s="12"/>
      <c r="F6" s="12"/>
      <c r="G6" s="12"/>
      <c r="H6" s="12"/>
      <c r="I6" s="12"/>
      <c r="J6" s="12"/>
      <c r="K6" s="12"/>
      <c r="L6" s="12"/>
      <c r="M6" s="50"/>
      <c r="N6" s="46"/>
      <c r="O6" s="46"/>
      <c r="P6" s="46"/>
      <c r="Q6" s="46"/>
      <c r="R6" s="131"/>
      <c r="S6" s="131"/>
      <c r="T6" s="51"/>
      <c r="V6" s="83"/>
    </row>
    <row r="7" spans="1:22" s="1" customFormat="1" ht="18" customHeight="1">
      <c r="A7" s="4"/>
      <c r="V7" s="83"/>
    </row>
    <row r="8" spans="1:22" s="1" customFormat="1" ht="13.5" customHeight="1">
      <c r="A8" s="242" t="s">
        <v>9</v>
      </c>
      <c r="B8" s="243"/>
      <c r="C8" s="243"/>
      <c r="D8" s="243"/>
      <c r="E8" s="13">
        <v>46035</v>
      </c>
      <c r="F8" s="14"/>
      <c r="G8" s="244" t="s">
        <v>10</v>
      </c>
      <c r="H8" s="244"/>
      <c r="I8" s="245">
        <v>46039</v>
      </c>
      <c r="J8" s="243"/>
      <c r="K8" s="17"/>
      <c r="L8" s="51"/>
      <c r="P8" s="246"/>
      <c r="Q8" s="171"/>
      <c r="S8" s="133"/>
      <c r="U8" s="246"/>
      <c r="V8" s="247"/>
    </row>
    <row r="9" spans="1:22" s="1" customFormat="1" ht="17.25" customHeight="1">
      <c r="A9" s="15"/>
      <c r="B9" s="14"/>
      <c r="C9" s="14"/>
      <c r="D9" s="14"/>
      <c r="E9" s="16"/>
      <c r="F9" s="16"/>
      <c r="G9" s="17"/>
      <c r="H9" s="17"/>
      <c r="I9" s="17"/>
      <c r="J9" s="17"/>
      <c r="K9" s="17"/>
      <c r="L9" s="17"/>
      <c r="M9" s="17"/>
      <c r="N9" s="17"/>
      <c r="O9" s="17"/>
      <c r="R9" s="85"/>
      <c r="S9" s="85"/>
      <c r="T9" s="85"/>
      <c r="U9" s="85"/>
      <c r="V9" s="86"/>
    </row>
    <row r="10" spans="1:22" s="1" customFormat="1" ht="12.75" customHeight="1">
      <c r="A10" s="234" t="s">
        <v>11</v>
      </c>
      <c r="B10" s="235"/>
      <c r="C10" s="235"/>
      <c r="D10" s="236">
        <v>7</v>
      </c>
      <c r="E10" s="236"/>
      <c r="F10" s="236"/>
      <c r="G10" s="236"/>
      <c r="H10" s="236"/>
      <c r="I10" s="236"/>
      <c r="J10" s="17"/>
      <c r="K10" s="17"/>
      <c r="L10" s="17"/>
      <c r="M10" s="17"/>
      <c r="N10" s="17"/>
      <c r="O10" s="17"/>
      <c r="R10" s="85"/>
      <c r="S10" s="85"/>
      <c r="T10" s="85"/>
      <c r="U10" s="85"/>
      <c r="V10" s="86"/>
    </row>
    <row r="11" spans="1:22" s="1" customFormat="1" ht="12.75" customHeight="1">
      <c r="A11" s="234" t="s">
        <v>12</v>
      </c>
      <c r="B11" s="235"/>
      <c r="C11" s="235"/>
      <c r="D11" s="236" t="s">
        <v>8</v>
      </c>
      <c r="E11" s="236"/>
      <c r="F11" s="236"/>
      <c r="G11" s="236"/>
      <c r="H11" s="236"/>
      <c r="I11" s="236"/>
      <c r="J11" s="18"/>
      <c r="K11" s="18"/>
      <c r="L11" s="18"/>
      <c r="M11" s="18"/>
      <c r="N11" s="18"/>
      <c r="O11" s="18"/>
      <c r="P11" s="18"/>
      <c r="Q11" s="18"/>
      <c r="R11" s="18"/>
      <c r="S11" s="18"/>
      <c r="T11" s="18"/>
      <c r="U11" s="18"/>
      <c r="V11" s="87"/>
    </row>
    <row r="12" spans="1:22" s="1" customFormat="1" ht="12.75" customHeight="1">
      <c r="A12" s="234" t="s">
        <v>13</v>
      </c>
      <c r="B12" s="235"/>
      <c r="C12" s="235"/>
      <c r="D12" s="236" t="s">
        <v>14</v>
      </c>
      <c r="E12" s="236"/>
      <c r="F12" s="236"/>
      <c r="G12" s="236"/>
      <c r="H12" s="236"/>
      <c r="I12" s="236"/>
      <c r="J12" s="18"/>
      <c r="K12" s="18"/>
      <c r="L12" s="18"/>
      <c r="M12" s="18"/>
      <c r="N12" s="18"/>
      <c r="O12" s="18"/>
      <c r="P12" s="18"/>
      <c r="R12" s="85"/>
      <c r="S12" s="85"/>
      <c r="T12" s="85"/>
      <c r="U12" s="85"/>
      <c r="V12" s="86"/>
    </row>
    <row r="13" spans="1:22" s="1" customFormat="1" ht="12.75" customHeight="1">
      <c r="A13" s="234" t="s">
        <v>15</v>
      </c>
      <c r="B13" s="235"/>
      <c r="C13" s="235"/>
      <c r="D13" s="236" t="s">
        <v>5</v>
      </c>
      <c r="E13" s="236"/>
      <c r="F13" s="236"/>
      <c r="G13" s="236"/>
      <c r="H13" s="236"/>
      <c r="I13" s="236"/>
      <c r="J13" s="18"/>
      <c r="L13" s="18"/>
      <c r="M13" s="18"/>
      <c r="N13" s="18"/>
      <c r="O13" s="18"/>
      <c r="P13" s="18"/>
      <c r="Q13" s="18"/>
      <c r="R13" s="18"/>
      <c r="S13" s="18"/>
      <c r="T13" s="85"/>
      <c r="U13" s="85"/>
      <c r="V13" s="86"/>
    </row>
    <row r="14" spans="1:22" s="1" customFormat="1" ht="12.75" customHeight="1">
      <c r="A14" s="234" t="s">
        <v>16</v>
      </c>
      <c r="B14" s="235"/>
      <c r="C14" s="235"/>
      <c r="D14" s="236" t="s">
        <v>17</v>
      </c>
      <c r="E14" s="236"/>
      <c r="F14" s="236"/>
      <c r="G14" s="236"/>
      <c r="H14" s="236"/>
      <c r="I14" s="236"/>
      <c r="J14" s="17" t="s">
        <v>18</v>
      </c>
      <c r="L14" s="237" t="s">
        <v>3</v>
      </c>
      <c r="M14" s="237"/>
      <c r="N14" s="18"/>
      <c r="O14" s="18"/>
      <c r="P14" s="18"/>
      <c r="R14" s="85"/>
      <c r="T14" s="85"/>
      <c r="U14" s="85"/>
      <c r="V14" s="86"/>
    </row>
    <row r="15" spans="1:22" s="1" customFormat="1" ht="12.75" customHeight="1">
      <c r="A15" s="234" t="s">
        <v>19</v>
      </c>
      <c r="B15" s="235"/>
      <c r="C15" s="235"/>
      <c r="D15" s="236" t="s">
        <v>20</v>
      </c>
      <c r="E15" s="236"/>
      <c r="F15" s="236"/>
      <c r="G15" s="236"/>
      <c r="H15" s="236"/>
      <c r="I15" s="236"/>
      <c r="J15" s="17" t="s">
        <v>21</v>
      </c>
      <c r="L15" s="237" t="s">
        <v>22</v>
      </c>
      <c r="M15" s="237"/>
      <c r="N15" s="18"/>
      <c r="O15" s="18"/>
      <c r="P15" s="18"/>
      <c r="Q15" s="18"/>
      <c r="R15" s="18"/>
      <c r="T15" s="85"/>
      <c r="U15" s="85"/>
      <c r="V15" s="86"/>
    </row>
    <row r="16" spans="1:22" s="1" customFormat="1" ht="12.75" customHeight="1">
      <c r="A16" s="238" t="s">
        <v>23</v>
      </c>
      <c r="B16" s="239"/>
      <c r="C16" s="239"/>
      <c r="D16" s="236" t="s">
        <v>24</v>
      </c>
      <c r="E16" s="236"/>
      <c r="F16" s="236"/>
      <c r="G16" s="236"/>
      <c r="H16" s="236"/>
      <c r="I16" s="236"/>
      <c r="J16" s="18"/>
      <c r="K16" s="18"/>
      <c r="L16" s="18"/>
      <c r="M16" s="18"/>
      <c r="N16" s="18"/>
      <c r="O16" s="18"/>
      <c r="P16" s="18"/>
      <c r="R16" s="85"/>
      <c r="S16" s="85"/>
      <c r="T16" s="85"/>
      <c r="U16" s="85"/>
      <c r="V16" s="86"/>
    </row>
    <row r="17" spans="1:32" s="1" customFormat="1" ht="12.75" customHeight="1">
      <c r="A17" s="225" t="s">
        <v>25</v>
      </c>
      <c r="B17" s="226"/>
      <c r="C17" s="226"/>
      <c r="D17" s="227">
        <v>46053</v>
      </c>
      <c r="E17" s="228"/>
      <c r="F17" s="228"/>
      <c r="G17" s="228"/>
      <c r="H17" s="228"/>
      <c r="I17" s="228"/>
      <c r="J17" s="19"/>
      <c r="K17" s="19"/>
      <c r="L17" s="19"/>
      <c r="M17" s="19"/>
      <c r="N17" s="52"/>
      <c r="O17" s="53"/>
      <c r="P17" s="5"/>
      <c r="Q17" s="5"/>
      <c r="R17" s="23"/>
      <c r="S17" s="23"/>
      <c r="T17" s="23"/>
      <c r="U17" s="23"/>
      <c r="V17" s="88"/>
    </row>
    <row r="18" spans="1:32" s="1" customFormat="1" ht="36.75" customHeight="1">
      <c r="A18" s="20"/>
      <c r="B18" s="21"/>
      <c r="C18" s="21"/>
      <c r="D18" s="21"/>
      <c r="E18" s="21"/>
      <c r="F18" s="21"/>
      <c r="G18" s="21"/>
      <c r="H18" s="21"/>
      <c r="I18" s="21"/>
      <c r="J18" s="21"/>
      <c r="K18" s="21"/>
      <c r="L18" s="21"/>
      <c r="M18" s="21"/>
      <c r="N18" s="54" t="s">
        <v>26</v>
      </c>
      <c r="O18" s="54" t="s">
        <v>27</v>
      </c>
      <c r="P18" s="54" t="s">
        <v>28</v>
      </c>
      <c r="Q18" s="54" t="s">
        <v>28</v>
      </c>
      <c r="R18" s="54" t="s">
        <v>28</v>
      </c>
      <c r="S18" s="54" t="s">
        <v>28</v>
      </c>
      <c r="T18" s="54" t="s">
        <v>28</v>
      </c>
      <c r="U18" s="89"/>
      <c r="V18" s="86"/>
    </row>
    <row r="19" spans="1:32" s="1" customFormat="1" ht="21.75" customHeight="1">
      <c r="A19" s="22" t="s">
        <v>29</v>
      </c>
      <c r="B19" s="253" t="s">
        <v>30</v>
      </c>
      <c r="C19" s="253"/>
      <c r="D19" s="253"/>
      <c r="E19" s="253"/>
      <c r="F19" s="253"/>
      <c r="G19" s="253"/>
      <c r="H19" s="253"/>
      <c r="I19" s="253"/>
      <c r="J19" s="55" t="s">
        <v>31</v>
      </c>
      <c r="K19" s="55" t="s">
        <v>32</v>
      </c>
      <c r="L19" s="55" t="s">
        <v>33</v>
      </c>
      <c r="M19" s="55" t="s">
        <v>34</v>
      </c>
      <c r="N19" s="56" t="s">
        <v>35</v>
      </c>
      <c r="O19" s="57">
        <v>46035</v>
      </c>
      <c r="P19" s="57">
        <v>46036</v>
      </c>
      <c r="Q19" s="57">
        <v>46037</v>
      </c>
      <c r="R19" s="57">
        <v>46038</v>
      </c>
      <c r="S19" s="57">
        <v>46039</v>
      </c>
      <c r="T19" s="56" t="s">
        <v>36</v>
      </c>
      <c r="U19" s="90" t="s">
        <v>37</v>
      </c>
      <c r="V19" s="86"/>
    </row>
    <row r="20" spans="1:32" s="1" customFormat="1" ht="17.25" customHeight="1">
      <c r="A20" s="230" t="s">
        <v>38</v>
      </c>
      <c r="B20" s="231"/>
      <c r="C20" s="231"/>
      <c r="D20" s="231"/>
      <c r="E20" s="231"/>
      <c r="F20" s="231"/>
      <c r="G20" s="231"/>
      <c r="H20" s="231"/>
      <c r="I20" s="231"/>
      <c r="J20" s="231"/>
      <c r="K20" s="231"/>
      <c r="L20" s="231"/>
      <c r="M20" s="231"/>
      <c r="N20" s="232"/>
      <c r="O20" s="232"/>
      <c r="P20" s="232"/>
      <c r="Q20" s="232"/>
      <c r="R20" s="232"/>
      <c r="S20" s="232"/>
      <c r="T20" s="233"/>
      <c r="U20" s="134">
        <v>20</v>
      </c>
      <c r="V20" s="86"/>
      <c r="AC20" s="116" t="s">
        <v>39</v>
      </c>
      <c r="AD20" s="116" t="s">
        <v>40</v>
      </c>
    </row>
    <row r="21" spans="1:32" s="1" customFormat="1" ht="17.25" customHeight="1">
      <c r="A21" s="27">
        <v>1</v>
      </c>
      <c r="B21" s="221" t="s">
        <v>41</v>
      </c>
      <c r="C21" s="221"/>
      <c r="D21" s="221"/>
      <c r="E21" s="221"/>
      <c r="F21" s="221"/>
      <c r="G21" s="221"/>
      <c r="H21" s="221"/>
      <c r="I21" s="221"/>
      <c r="J21" s="62" t="s">
        <v>42</v>
      </c>
      <c r="K21" s="71"/>
      <c r="L21" s="71"/>
      <c r="M21" s="71"/>
      <c r="N21" s="129">
        <v>4</v>
      </c>
      <c r="O21" s="72">
        <v>0</v>
      </c>
      <c r="P21" s="72">
        <v>1</v>
      </c>
      <c r="Q21" s="72">
        <v>0</v>
      </c>
      <c r="R21" s="72">
        <v>1</v>
      </c>
      <c r="S21" s="135">
        <v>0</v>
      </c>
      <c r="T21" s="136">
        <f>AVERAGE(O21:S21)</f>
        <v>0.4</v>
      </c>
      <c r="U21" s="201">
        <f>IF(SUM(N21:N25)&lt;&gt;U20,"Ajustar Ponderacion",IF(SUM(AD21:AD25)=0,"",IF(SUM(AC21:AC25)=U20,IF(SUM(N21:N25)=U20,SUM(AD21:AD25),"Ajustar ponderacion"),"Ajustar ponderacion")))</f>
        <v>17.600000000000001</v>
      </c>
      <c r="V21" s="86"/>
      <c r="AC21" s="117">
        <f t="shared" ref="AC21:AC54" si="0">IF(J21="x",N21)</f>
        <v>4</v>
      </c>
      <c r="AD21" s="118">
        <f t="shared" ref="AD21:AD54" si="1">AC21*T21</f>
        <v>1.6</v>
      </c>
      <c r="AF21" s="1">
        <v>0</v>
      </c>
    </row>
    <row r="22" spans="1:32" s="1" customFormat="1" ht="28.75" customHeight="1">
      <c r="A22" s="28">
        <v>2</v>
      </c>
      <c r="B22" s="196" t="s">
        <v>43</v>
      </c>
      <c r="C22" s="196"/>
      <c r="D22" s="196"/>
      <c r="E22" s="196"/>
      <c r="F22" s="196"/>
      <c r="G22" s="196"/>
      <c r="H22" s="196"/>
      <c r="I22" s="196"/>
      <c r="J22" s="62" t="s">
        <v>42</v>
      </c>
      <c r="K22" s="63"/>
      <c r="L22" s="63"/>
      <c r="M22" s="63"/>
      <c r="N22" s="64">
        <v>4</v>
      </c>
      <c r="O22" s="72">
        <v>1</v>
      </c>
      <c r="P22" s="72">
        <v>1</v>
      </c>
      <c r="Q22" s="72">
        <v>1</v>
      </c>
      <c r="R22" s="72">
        <v>1</v>
      </c>
      <c r="S22" s="135">
        <v>1</v>
      </c>
      <c r="T22" s="137">
        <f>AVERAGE(O22:S22)</f>
        <v>1</v>
      </c>
      <c r="U22" s="202"/>
      <c r="V22" s="86"/>
      <c r="AC22" s="117">
        <f t="shared" si="0"/>
        <v>4</v>
      </c>
      <c r="AD22" s="118">
        <f t="shared" si="1"/>
        <v>4</v>
      </c>
      <c r="AF22" s="1">
        <v>100</v>
      </c>
    </row>
    <row r="23" spans="1:32" s="1" customFormat="1" ht="27.75" customHeight="1">
      <c r="A23" s="28">
        <v>3</v>
      </c>
      <c r="B23" s="196" t="s">
        <v>44</v>
      </c>
      <c r="C23" s="196"/>
      <c r="D23" s="196"/>
      <c r="E23" s="196"/>
      <c r="F23" s="196"/>
      <c r="G23" s="196"/>
      <c r="H23" s="196"/>
      <c r="I23" s="196"/>
      <c r="J23" s="62" t="s">
        <v>42</v>
      </c>
      <c r="K23" s="63"/>
      <c r="L23" s="63"/>
      <c r="M23" s="63"/>
      <c r="N23" s="64">
        <v>4</v>
      </c>
      <c r="O23" s="72">
        <v>1</v>
      </c>
      <c r="P23" s="72">
        <v>1</v>
      </c>
      <c r="Q23" s="72">
        <v>1</v>
      </c>
      <c r="R23" s="72">
        <v>1</v>
      </c>
      <c r="S23" s="135">
        <v>1</v>
      </c>
      <c r="T23" s="137">
        <f>AVERAGE(O23:S23)</f>
        <v>1</v>
      </c>
      <c r="U23" s="202"/>
      <c r="V23" s="86"/>
      <c r="AC23" s="117">
        <f t="shared" si="0"/>
        <v>4</v>
      </c>
      <c r="AD23" s="118">
        <f t="shared" si="1"/>
        <v>4</v>
      </c>
    </row>
    <row r="24" spans="1:32" s="1" customFormat="1" ht="30.75" customHeight="1">
      <c r="A24" s="28">
        <v>4</v>
      </c>
      <c r="B24" s="196" t="s">
        <v>45</v>
      </c>
      <c r="C24" s="196"/>
      <c r="D24" s="196"/>
      <c r="E24" s="196"/>
      <c r="F24" s="196"/>
      <c r="G24" s="196"/>
      <c r="H24" s="196"/>
      <c r="I24" s="196"/>
      <c r="J24" s="62" t="s">
        <v>42</v>
      </c>
      <c r="K24" s="62"/>
      <c r="L24" s="63"/>
      <c r="M24" s="63"/>
      <c r="N24" s="64">
        <v>4</v>
      </c>
      <c r="O24" s="72">
        <v>1</v>
      </c>
      <c r="P24" s="72">
        <v>1</v>
      </c>
      <c r="Q24" s="72">
        <v>1</v>
      </c>
      <c r="R24" s="72">
        <v>1</v>
      </c>
      <c r="S24" s="135">
        <v>1</v>
      </c>
      <c r="T24" s="137">
        <f>AVERAGE(O24:S24)</f>
        <v>1</v>
      </c>
      <c r="U24" s="202"/>
      <c r="V24" s="86"/>
      <c r="AC24" s="117">
        <f t="shared" si="0"/>
        <v>4</v>
      </c>
      <c r="AD24" s="118">
        <f t="shared" si="1"/>
        <v>4</v>
      </c>
    </row>
    <row r="25" spans="1:32" s="1" customFormat="1" ht="17.25" customHeight="1">
      <c r="A25" s="128">
        <v>5</v>
      </c>
      <c r="B25" s="197" t="s">
        <v>46</v>
      </c>
      <c r="C25" s="197"/>
      <c r="D25" s="197"/>
      <c r="E25" s="197"/>
      <c r="F25" s="197"/>
      <c r="G25" s="197"/>
      <c r="H25" s="197"/>
      <c r="I25" s="197"/>
      <c r="J25" s="62" t="s">
        <v>42</v>
      </c>
      <c r="K25" s="130"/>
      <c r="L25" s="130"/>
      <c r="M25" s="130"/>
      <c r="N25" s="78">
        <v>4</v>
      </c>
      <c r="O25" s="72">
        <v>1</v>
      </c>
      <c r="P25" s="72">
        <v>1</v>
      </c>
      <c r="Q25" s="72">
        <v>1</v>
      </c>
      <c r="R25" s="72">
        <v>1</v>
      </c>
      <c r="S25" s="135">
        <v>1</v>
      </c>
      <c r="T25" s="100">
        <f>AVERAGE(O25:S25)</f>
        <v>1</v>
      </c>
      <c r="U25" s="203"/>
      <c r="V25" s="86"/>
      <c r="AC25" s="117">
        <f t="shared" si="0"/>
        <v>4</v>
      </c>
      <c r="AD25" s="118">
        <f t="shared" si="1"/>
        <v>4</v>
      </c>
    </row>
    <row r="26" spans="1:32" s="1" customFormat="1" ht="17.25" customHeight="1">
      <c r="A26" s="222" t="s">
        <v>47</v>
      </c>
      <c r="B26" s="223"/>
      <c r="C26" s="223"/>
      <c r="D26" s="223"/>
      <c r="E26" s="223"/>
      <c r="F26" s="223"/>
      <c r="G26" s="223"/>
      <c r="H26" s="223"/>
      <c r="I26" s="223"/>
      <c r="J26" s="223"/>
      <c r="K26" s="223"/>
      <c r="L26" s="223"/>
      <c r="M26" s="223"/>
      <c r="N26" s="223"/>
      <c r="O26" s="223"/>
      <c r="P26" s="223"/>
      <c r="Q26" s="223"/>
      <c r="R26" s="223"/>
      <c r="S26" s="223"/>
      <c r="T26" s="224"/>
      <c r="U26" s="138">
        <v>50</v>
      </c>
      <c r="V26" s="86"/>
      <c r="AC26" s="117" t="b">
        <f t="shared" si="0"/>
        <v>0</v>
      </c>
      <c r="AD26" s="118">
        <f t="shared" si="1"/>
        <v>0</v>
      </c>
    </row>
    <row r="27" spans="1:32" s="1" customFormat="1" ht="17.25" customHeight="1">
      <c r="A27" s="27">
        <v>6</v>
      </c>
      <c r="B27" s="221" t="s">
        <v>48</v>
      </c>
      <c r="C27" s="221"/>
      <c r="D27" s="221"/>
      <c r="E27" s="221"/>
      <c r="F27" s="221"/>
      <c r="G27" s="221"/>
      <c r="H27" s="221"/>
      <c r="I27" s="221"/>
      <c r="J27" s="62" t="s">
        <v>42</v>
      </c>
      <c r="K27" s="70"/>
      <c r="L27" s="70"/>
      <c r="M27" s="70"/>
      <c r="N27" s="71">
        <v>2.5</v>
      </c>
      <c r="O27" s="72">
        <v>1</v>
      </c>
      <c r="P27" s="72">
        <v>1</v>
      </c>
      <c r="Q27" s="72">
        <v>1</v>
      </c>
      <c r="R27" s="72">
        <v>1</v>
      </c>
      <c r="S27" s="135">
        <v>1</v>
      </c>
      <c r="T27" s="139">
        <f t="shared" ref="T27:T46" si="2">AVERAGE(O27:S27)</f>
        <v>1</v>
      </c>
      <c r="U27" s="201">
        <f>IF(SUM(N27:N46)&lt;&gt;U26,"Ajuste ponderacion",IF(SUM(AD27:AD46)=0,"",IF(SUM(AC27:AC46)=U26,IF(SUM(N27:N46)=U26,SUM(AD27:AD46),"ajustar ponderacion"),"ajustar ponderacion")))</f>
        <v>50</v>
      </c>
      <c r="V27" s="86"/>
      <c r="AC27" s="117">
        <f t="shared" si="0"/>
        <v>2.5</v>
      </c>
      <c r="AD27" s="118">
        <f t="shared" si="1"/>
        <v>2.5</v>
      </c>
    </row>
    <row r="28" spans="1:32" s="1" customFormat="1" ht="17.25" customHeight="1">
      <c r="A28" s="28">
        <v>7</v>
      </c>
      <c r="B28" s="196" t="s">
        <v>49</v>
      </c>
      <c r="C28" s="196"/>
      <c r="D28" s="196"/>
      <c r="E28" s="196"/>
      <c r="F28" s="196"/>
      <c r="G28" s="196"/>
      <c r="H28" s="196"/>
      <c r="I28" s="196"/>
      <c r="J28" s="62" t="s">
        <v>42</v>
      </c>
      <c r="K28" s="73"/>
      <c r="L28" s="73"/>
      <c r="M28" s="73"/>
      <c r="N28" s="71">
        <v>2.5</v>
      </c>
      <c r="O28" s="72">
        <v>1</v>
      </c>
      <c r="P28" s="72">
        <v>1</v>
      </c>
      <c r="Q28" s="72">
        <v>1</v>
      </c>
      <c r="R28" s="72">
        <v>1</v>
      </c>
      <c r="S28" s="135">
        <v>1</v>
      </c>
      <c r="T28" s="140">
        <f t="shared" si="2"/>
        <v>1</v>
      </c>
      <c r="U28" s="202"/>
      <c r="V28" s="86"/>
      <c r="AC28" s="117">
        <f t="shared" si="0"/>
        <v>2.5</v>
      </c>
      <c r="AD28" s="118">
        <f t="shared" si="1"/>
        <v>2.5</v>
      </c>
    </row>
    <row r="29" spans="1:32" s="1" customFormat="1" ht="36.75" customHeight="1">
      <c r="A29" s="28">
        <v>8</v>
      </c>
      <c r="B29" s="196" t="s">
        <v>50</v>
      </c>
      <c r="C29" s="196"/>
      <c r="D29" s="196"/>
      <c r="E29" s="196"/>
      <c r="F29" s="196"/>
      <c r="G29" s="196"/>
      <c r="H29" s="196"/>
      <c r="I29" s="196"/>
      <c r="J29" s="62" t="s">
        <v>42</v>
      </c>
      <c r="K29" s="73"/>
      <c r="L29" s="62"/>
      <c r="M29" s="73"/>
      <c r="N29" s="71">
        <v>2.5</v>
      </c>
      <c r="O29" s="72">
        <v>1</v>
      </c>
      <c r="P29" s="72">
        <v>1</v>
      </c>
      <c r="Q29" s="72">
        <v>1</v>
      </c>
      <c r="R29" s="72">
        <v>1</v>
      </c>
      <c r="S29" s="135">
        <v>1</v>
      </c>
      <c r="T29" s="140">
        <f t="shared" si="2"/>
        <v>1</v>
      </c>
      <c r="U29" s="202"/>
      <c r="V29" s="86"/>
      <c r="AC29" s="117">
        <f t="shared" si="0"/>
        <v>2.5</v>
      </c>
      <c r="AD29" s="118">
        <f t="shared" si="1"/>
        <v>2.5</v>
      </c>
    </row>
    <row r="30" spans="1:32" s="1" customFormat="1" ht="28" customHeight="1">
      <c r="A30" s="28">
        <v>9</v>
      </c>
      <c r="B30" s="196" t="s">
        <v>51</v>
      </c>
      <c r="C30" s="196"/>
      <c r="D30" s="196"/>
      <c r="E30" s="196"/>
      <c r="F30" s="196"/>
      <c r="G30" s="196"/>
      <c r="H30" s="196"/>
      <c r="I30" s="196"/>
      <c r="J30" s="62" t="s">
        <v>42</v>
      </c>
      <c r="K30" s="73"/>
      <c r="L30" s="73"/>
      <c r="M30" s="73"/>
      <c r="N30" s="71">
        <v>2.5</v>
      </c>
      <c r="O30" s="72">
        <v>1</v>
      </c>
      <c r="P30" s="72">
        <v>1</v>
      </c>
      <c r="Q30" s="72">
        <v>1</v>
      </c>
      <c r="R30" s="72">
        <v>1</v>
      </c>
      <c r="S30" s="135">
        <v>1</v>
      </c>
      <c r="T30" s="140">
        <f t="shared" si="2"/>
        <v>1</v>
      </c>
      <c r="U30" s="202"/>
      <c r="V30" s="86"/>
      <c r="AC30" s="117">
        <f t="shared" si="0"/>
        <v>2.5</v>
      </c>
      <c r="AD30" s="118">
        <f t="shared" si="1"/>
        <v>2.5</v>
      </c>
    </row>
    <row r="31" spans="1:32" s="1" customFormat="1" ht="17.25" customHeight="1">
      <c r="A31" s="28">
        <v>10</v>
      </c>
      <c r="B31" s="196" t="s">
        <v>52</v>
      </c>
      <c r="C31" s="196"/>
      <c r="D31" s="196"/>
      <c r="E31" s="196"/>
      <c r="F31" s="196"/>
      <c r="G31" s="196"/>
      <c r="H31" s="196"/>
      <c r="I31" s="196"/>
      <c r="J31" s="62" t="s">
        <v>42</v>
      </c>
      <c r="K31" s="73"/>
      <c r="L31" s="62"/>
      <c r="M31" s="73"/>
      <c r="N31" s="71">
        <v>2.5</v>
      </c>
      <c r="O31" s="72">
        <v>1</v>
      </c>
      <c r="P31" s="72">
        <v>1</v>
      </c>
      <c r="Q31" s="72">
        <v>1</v>
      </c>
      <c r="R31" s="72">
        <v>1</v>
      </c>
      <c r="S31" s="135">
        <v>1</v>
      </c>
      <c r="T31" s="140">
        <f t="shared" si="2"/>
        <v>1</v>
      </c>
      <c r="U31" s="202"/>
      <c r="V31" s="86"/>
      <c r="AC31" s="117">
        <f t="shared" si="0"/>
        <v>2.5</v>
      </c>
      <c r="AD31" s="118">
        <f t="shared" si="1"/>
        <v>2.5</v>
      </c>
    </row>
    <row r="32" spans="1:32" s="1" customFormat="1" ht="17.25" customHeight="1">
      <c r="A32" s="28">
        <v>11</v>
      </c>
      <c r="B32" s="196" t="s">
        <v>53</v>
      </c>
      <c r="C32" s="196"/>
      <c r="D32" s="196"/>
      <c r="E32" s="196"/>
      <c r="F32" s="196"/>
      <c r="G32" s="196"/>
      <c r="H32" s="196"/>
      <c r="I32" s="196"/>
      <c r="J32" s="62" t="s">
        <v>42</v>
      </c>
      <c r="K32" s="62"/>
      <c r="L32" s="73"/>
      <c r="M32" s="73"/>
      <c r="N32" s="71">
        <v>2.5</v>
      </c>
      <c r="O32" s="72">
        <v>1</v>
      </c>
      <c r="P32" s="72">
        <v>1</v>
      </c>
      <c r="Q32" s="72">
        <v>1</v>
      </c>
      <c r="R32" s="72">
        <v>1</v>
      </c>
      <c r="S32" s="135">
        <v>1</v>
      </c>
      <c r="T32" s="140">
        <f t="shared" si="2"/>
        <v>1</v>
      </c>
      <c r="U32" s="202"/>
      <c r="V32" s="86"/>
      <c r="AC32" s="117">
        <f t="shared" si="0"/>
        <v>2.5</v>
      </c>
      <c r="AD32" s="118">
        <f t="shared" si="1"/>
        <v>2.5</v>
      </c>
    </row>
    <row r="33" spans="1:30" s="1" customFormat="1" ht="17.25" customHeight="1">
      <c r="A33" s="28">
        <v>12</v>
      </c>
      <c r="B33" s="196" t="s">
        <v>54</v>
      </c>
      <c r="C33" s="196"/>
      <c r="D33" s="196"/>
      <c r="E33" s="196"/>
      <c r="F33" s="196"/>
      <c r="G33" s="196"/>
      <c r="H33" s="196"/>
      <c r="I33" s="196"/>
      <c r="J33" s="62" t="s">
        <v>42</v>
      </c>
      <c r="K33" s="62"/>
      <c r="L33" s="73"/>
      <c r="M33" s="73"/>
      <c r="N33" s="71">
        <v>2.5</v>
      </c>
      <c r="O33" s="72">
        <v>1</v>
      </c>
      <c r="P33" s="72">
        <v>1</v>
      </c>
      <c r="Q33" s="72">
        <v>1</v>
      </c>
      <c r="R33" s="72">
        <v>1</v>
      </c>
      <c r="S33" s="135">
        <v>1</v>
      </c>
      <c r="T33" s="140">
        <f t="shared" si="2"/>
        <v>1</v>
      </c>
      <c r="U33" s="202"/>
      <c r="V33" s="86"/>
      <c r="AC33" s="117">
        <f t="shared" si="0"/>
        <v>2.5</v>
      </c>
      <c r="AD33" s="118">
        <f t="shared" si="1"/>
        <v>2.5</v>
      </c>
    </row>
    <row r="34" spans="1:30" s="1" customFormat="1" ht="17.25" customHeight="1">
      <c r="A34" s="28">
        <v>13</v>
      </c>
      <c r="B34" s="196" t="s">
        <v>55</v>
      </c>
      <c r="C34" s="196"/>
      <c r="D34" s="196"/>
      <c r="E34" s="196"/>
      <c r="F34" s="196"/>
      <c r="G34" s="196"/>
      <c r="H34" s="196"/>
      <c r="I34" s="196"/>
      <c r="J34" s="62" t="s">
        <v>42</v>
      </c>
      <c r="K34" s="62"/>
      <c r="L34" s="73"/>
      <c r="M34" s="73"/>
      <c r="N34" s="71">
        <v>2.5</v>
      </c>
      <c r="O34" s="72">
        <v>1</v>
      </c>
      <c r="P34" s="72">
        <v>1</v>
      </c>
      <c r="Q34" s="72">
        <v>1</v>
      </c>
      <c r="R34" s="72">
        <v>1</v>
      </c>
      <c r="S34" s="135">
        <v>1</v>
      </c>
      <c r="T34" s="140">
        <f t="shared" si="2"/>
        <v>1</v>
      </c>
      <c r="U34" s="202"/>
      <c r="V34" s="86"/>
      <c r="AC34" s="117">
        <f t="shared" si="0"/>
        <v>2.5</v>
      </c>
      <c r="AD34" s="118">
        <f t="shared" si="1"/>
        <v>2.5</v>
      </c>
    </row>
    <row r="35" spans="1:30" s="1" customFormat="1" ht="17.25" customHeight="1">
      <c r="A35" s="28">
        <v>14</v>
      </c>
      <c r="B35" s="196" t="s">
        <v>56</v>
      </c>
      <c r="C35" s="196"/>
      <c r="D35" s="196"/>
      <c r="E35" s="196"/>
      <c r="F35" s="196"/>
      <c r="G35" s="196"/>
      <c r="H35" s="196"/>
      <c r="I35" s="196"/>
      <c r="J35" s="62" t="s">
        <v>42</v>
      </c>
      <c r="K35" s="73"/>
      <c r="L35" s="73"/>
      <c r="M35" s="73"/>
      <c r="N35" s="71">
        <v>2.5</v>
      </c>
      <c r="O35" s="72">
        <v>1</v>
      </c>
      <c r="P35" s="72">
        <v>1</v>
      </c>
      <c r="Q35" s="72">
        <v>1</v>
      </c>
      <c r="R35" s="72">
        <v>1</v>
      </c>
      <c r="S35" s="135">
        <v>1</v>
      </c>
      <c r="T35" s="140">
        <f t="shared" si="2"/>
        <v>1</v>
      </c>
      <c r="U35" s="202"/>
      <c r="V35" s="86"/>
      <c r="AC35" s="117">
        <f t="shared" si="0"/>
        <v>2.5</v>
      </c>
      <c r="AD35" s="118">
        <f t="shared" si="1"/>
        <v>2.5</v>
      </c>
    </row>
    <row r="36" spans="1:30" s="1" customFormat="1" ht="17.25" customHeight="1">
      <c r="A36" s="28">
        <v>15</v>
      </c>
      <c r="B36" s="196" t="s">
        <v>57</v>
      </c>
      <c r="C36" s="196"/>
      <c r="D36" s="196"/>
      <c r="E36" s="196"/>
      <c r="F36" s="196"/>
      <c r="G36" s="196"/>
      <c r="H36" s="196"/>
      <c r="I36" s="196"/>
      <c r="J36" s="62" t="s">
        <v>42</v>
      </c>
      <c r="K36" s="73"/>
      <c r="L36" s="73"/>
      <c r="M36" s="73"/>
      <c r="N36" s="71">
        <v>2.5</v>
      </c>
      <c r="O36" s="72">
        <v>1</v>
      </c>
      <c r="P36" s="72">
        <v>1</v>
      </c>
      <c r="Q36" s="72">
        <v>1</v>
      </c>
      <c r="R36" s="72">
        <v>1</v>
      </c>
      <c r="S36" s="135">
        <v>1</v>
      </c>
      <c r="T36" s="140">
        <f t="shared" si="2"/>
        <v>1</v>
      </c>
      <c r="U36" s="202"/>
      <c r="V36" s="86"/>
      <c r="AC36" s="117">
        <f t="shared" si="0"/>
        <v>2.5</v>
      </c>
      <c r="AD36" s="118">
        <f t="shared" si="1"/>
        <v>2.5</v>
      </c>
    </row>
    <row r="37" spans="1:30" ht="17.25" customHeight="1">
      <c r="A37" s="29">
        <v>16</v>
      </c>
      <c r="B37" s="196" t="s">
        <v>58</v>
      </c>
      <c r="C37" s="196"/>
      <c r="D37" s="196"/>
      <c r="E37" s="196"/>
      <c r="F37" s="196"/>
      <c r="G37" s="196"/>
      <c r="H37" s="196"/>
      <c r="I37" s="196"/>
      <c r="J37" s="62" t="s">
        <v>42</v>
      </c>
      <c r="K37" s="74"/>
      <c r="L37" s="75"/>
      <c r="M37" s="76"/>
      <c r="N37" s="71">
        <v>2.5</v>
      </c>
      <c r="O37" s="72">
        <v>1</v>
      </c>
      <c r="P37" s="72">
        <v>1</v>
      </c>
      <c r="Q37" s="72">
        <v>1</v>
      </c>
      <c r="R37" s="72">
        <v>1</v>
      </c>
      <c r="S37" s="135">
        <v>1</v>
      </c>
      <c r="T37" s="140">
        <f t="shared" si="2"/>
        <v>1</v>
      </c>
      <c r="U37" s="202"/>
      <c r="V37" s="105"/>
      <c r="AC37" s="117">
        <f t="shared" si="0"/>
        <v>2.5</v>
      </c>
      <c r="AD37" s="118">
        <f t="shared" si="1"/>
        <v>2.5</v>
      </c>
    </row>
    <row r="38" spans="1:30" ht="17.25" customHeight="1">
      <c r="A38" s="29">
        <v>17</v>
      </c>
      <c r="B38" s="195" t="s">
        <v>59</v>
      </c>
      <c r="C38" s="195"/>
      <c r="D38" s="195"/>
      <c r="E38" s="195"/>
      <c r="F38" s="195"/>
      <c r="G38" s="195"/>
      <c r="H38" s="195"/>
      <c r="I38" s="195"/>
      <c r="J38" s="62" t="s">
        <v>42</v>
      </c>
      <c r="K38" s="75"/>
      <c r="L38" s="75"/>
      <c r="M38" s="76"/>
      <c r="N38" s="71">
        <v>2.5</v>
      </c>
      <c r="O38" s="72">
        <v>1</v>
      </c>
      <c r="P38" s="72">
        <v>1</v>
      </c>
      <c r="Q38" s="72">
        <v>1</v>
      </c>
      <c r="R38" s="72">
        <v>1</v>
      </c>
      <c r="S38" s="135">
        <v>1</v>
      </c>
      <c r="T38" s="140">
        <f t="shared" si="2"/>
        <v>1</v>
      </c>
      <c r="U38" s="202"/>
      <c r="V38" s="105"/>
      <c r="AC38" s="117">
        <f t="shared" si="0"/>
        <v>2.5</v>
      </c>
      <c r="AD38" s="118">
        <f t="shared" si="1"/>
        <v>2.5</v>
      </c>
    </row>
    <row r="39" spans="1:30" ht="17.25" customHeight="1">
      <c r="A39" s="29">
        <v>18</v>
      </c>
      <c r="B39" s="195" t="s">
        <v>60</v>
      </c>
      <c r="C39" s="195"/>
      <c r="D39" s="195"/>
      <c r="E39" s="195"/>
      <c r="F39" s="195"/>
      <c r="G39" s="195"/>
      <c r="H39" s="195"/>
      <c r="I39" s="195"/>
      <c r="J39" s="62" t="s">
        <v>42</v>
      </c>
      <c r="K39" s="75"/>
      <c r="L39" s="62"/>
      <c r="M39" s="75"/>
      <c r="N39" s="71">
        <v>2.5</v>
      </c>
      <c r="O39" s="72">
        <v>1</v>
      </c>
      <c r="P39" s="72">
        <v>1</v>
      </c>
      <c r="Q39" s="72">
        <v>1</v>
      </c>
      <c r="R39" s="72">
        <v>1</v>
      </c>
      <c r="S39" s="135">
        <v>1</v>
      </c>
      <c r="T39" s="140">
        <f t="shared" si="2"/>
        <v>1</v>
      </c>
      <c r="U39" s="202"/>
      <c r="V39" s="105"/>
      <c r="AC39" s="117">
        <f t="shared" si="0"/>
        <v>2.5</v>
      </c>
      <c r="AD39" s="118">
        <f t="shared" si="1"/>
        <v>2.5</v>
      </c>
    </row>
    <row r="40" spans="1:30" ht="17.25" customHeight="1">
      <c r="A40" s="29">
        <v>19</v>
      </c>
      <c r="B40" s="195" t="s">
        <v>61</v>
      </c>
      <c r="C40" s="195"/>
      <c r="D40" s="195"/>
      <c r="E40" s="195"/>
      <c r="F40" s="195"/>
      <c r="G40" s="195"/>
      <c r="H40" s="195"/>
      <c r="I40" s="195"/>
      <c r="J40" s="62" t="s">
        <v>42</v>
      </c>
      <c r="K40" s="75"/>
      <c r="L40" s="75"/>
      <c r="M40" s="75"/>
      <c r="N40" s="71">
        <v>2.5</v>
      </c>
      <c r="O40" s="72">
        <v>1</v>
      </c>
      <c r="P40" s="72">
        <v>1</v>
      </c>
      <c r="Q40" s="72">
        <v>1</v>
      </c>
      <c r="R40" s="72">
        <v>1</v>
      </c>
      <c r="S40" s="135">
        <v>1</v>
      </c>
      <c r="T40" s="140">
        <f t="shared" si="2"/>
        <v>1</v>
      </c>
      <c r="U40" s="202"/>
      <c r="V40" s="105"/>
      <c r="AC40" s="117">
        <f t="shared" si="0"/>
        <v>2.5</v>
      </c>
      <c r="AD40" s="118">
        <f t="shared" si="1"/>
        <v>2.5</v>
      </c>
    </row>
    <row r="41" spans="1:30" ht="17.25" customHeight="1">
      <c r="A41" s="29">
        <v>20</v>
      </c>
      <c r="B41" s="195" t="s">
        <v>62</v>
      </c>
      <c r="C41" s="195"/>
      <c r="D41" s="195"/>
      <c r="E41" s="195"/>
      <c r="F41" s="195"/>
      <c r="G41" s="195"/>
      <c r="H41" s="195"/>
      <c r="I41" s="195"/>
      <c r="J41" s="62" t="s">
        <v>42</v>
      </c>
      <c r="K41" s="75"/>
      <c r="L41" s="75"/>
      <c r="M41" s="75"/>
      <c r="N41" s="71">
        <v>2.5</v>
      </c>
      <c r="O41" s="72">
        <v>1</v>
      </c>
      <c r="P41" s="72">
        <v>1</v>
      </c>
      <c r="Q41" s="72">
        <v>1</v>
      </c>
      <c r="R41" s="72">
        <v>1</v>
      </c>
      <c r="S41" s="135">
        <v>1</v>
      </c>
      <c r="T41" s="140">
        <f t="shared" si="2"/>
        <v>1</v>
      </c>
      <c r="U41" s="202"/>
      <c r="V41" s="105"/>
      <c r="AC41" s="117">
        <f t="shared" si="0"/>
        <v>2.5</v>
      </c>
      <c r="AD41" s="118">
        <f t="shared" si="1"/>
        <v>2.5</v>
      </c>
    </row>
    <row r="42" spans="1:30" ht="17.25" customHeight="1">
      <c r="A42" s="29">
        <v>21</v>
      </c>
      <c r="B42" s="195" t="s">
        <v>63</v>
      </c>
      <c r="C42" s="195"/>
      <c r="D42" s="195"/>
      <c r="E42" s="195"/>
      <c r="F42" s="195"/>
      <c r="G42" s="195"/>
      <c r="H42" s="195"/>
      <c r="I42" s="195"/>
      <c r="J42" s="62" t="s">
        <v>42</v>
      </c>
      <c r="K42" s="62"/>
      <c r="L42" s="75"/>
      <c r="M42" s="75"/>
      <c r="N42" s="71">
        <v>2.5</v>
      </c>
      <c r="O42" s="72">
        <v>1</v>
      </c>
      <c r="P42" s="72">
        <v>1</v>
      </c>
      <c r="Q42" s="72">
        <v>1</v>
      </c>
      <c r="R42" s="72">
        <v>1</v>
      </c>
      <c r="S42" s="135">
        <v>1</v>
      </c>
      <c r="T42" s="140">
        <f t="shared" si="2"/>
        <v>1</v>
      </c>
      <c r="U42" s="202"/>
      <c r="V42" s="105"/>
      <c r="AC42" s="117">
        <f t="shared" si="0"/>
        <v>2.5</v>
      </c>
      <c r="AD42" s="118">
        <f t="shared" si="1"/>
        <v>2.5</v>
      </c>
    </row>
    <row r="43" spans="1:30" ht="17.25" customHeight="1">
      <c r="A43" s="29">
        <v>22</v>
      </c>
      <c r="B43" s="195" t="s">
        <v>64</v>
      </c>
      <c r="C43" s="195"/>
      <c r="D43" s="195"/>
      <c r="E43" s="195"/>
      <c r="F43" s="195"/>
      <c r="G43" s="195"/>
      <c r="H43" s="195"/>
      <c r="I43" s="195"/>
      <c r="J43" s="62" t="s">
        <v>42</v>
      </c>
      <c r="K43" s="75"/>
      <c r="L43" s="74"/>
      <c r="M43" s="75"/>
      <c r="N43" s="71">
        <v>2.5</v>
      </c>
      <c r="O43" s="72">
        <v>1</v>
      </c>
      <c r="P43" s="72">
        <v>1</v>
      </c>
      <c r="Q43" s="72">
        <v>1</v>
      </c>
      <c r="R43" s="72">
        <v>1</v>
      </c>
      <c r="S43" s="135">
        <v>1</v>
      </c>
      <c r="T43" s="140">
        <f t="shared" si="2"/>
        <v>1</v>
      </c>
      <c r="U43" s="202"/>
      <c r="V43" s="105"/>
      <c r="AC43" s="117">
        <f t="shared" si="0"/>
        <v>2.5</v>
      </c>
      <c r="AD43" s="118">
        <f t="shared" si="1"/>
        <v>2.5</v>
      </c>
    </row>
    <row r="44" spans="1:30" ht="17.25" customHeight="1">
      <c r="A44" s="29">
        <v>23</v>
      </c>
      <c r="B44" s="195" t="s">
        <v>65</v>
      </c>
      <c r="C44" s="195"/>
      <c r="D44" s="195"/>
      <c r="E44" s="195"/>
      <c r="F44" s="195"/>
      <c r="G44" s="195"/>
      <c r="H44" s="195"/>
      <c r="I44" s="195"/>
      <c r="J44" s="62" t="s">
        <v>42</v>
      </c>
      <c r="K44" s="75"/>
      <c r="L44" s="75"/>
      <c r="M44" s="75"/>
      <c r="N44" s="71">
        <v>2.5</v>
      </c>
      <c r="O44" s="72">
        <v>1</v>
      </c>
      <c r="P44" s="72">
        <v>1</v>
      </c>
      <c r="Q44" s="72">
        <v>1</v>
      </c>
      <c r="R44" s="72">
        <v>1</v>
      </c>
      <c r="S44" s="135">
        <v>1</v>
      </c>
      <c r="T44" s="140">
        <f t="shared" si="2"/>
        <v>1</v>
      </c>
      <c r="U44" s="202"/>
      <c r="V44" s="105"/>
      <c r="AC44" s="117">
        <f t="shared" si="0"/>
        <v>2.5</v>
      </c>
      <c r="AD44" s="118">
        <f t="shared" si="1"/>
        <v>2.5</v>
      </c>
    </row>
    <row r="45" spans="1:30" ht="31" customHeight="1">
      <c r="A45" s="29">
        <v>24</v>
      </c>
      <c r="B45" s="196" t="s">
        <v>66</v>
      </c>
      <c r="C45" s="196"/>
      <c r="D45" s="196"/>
      <c r="E45" s="196"/>
      <c r="F45" s="196"/>
      <c r="G45" s="196"/>
      <c r="H45" s="196"/>
      <c r="I45" s="196"/>
      <c r="J45" s="75" t="s">
        <v>42</v>
      </c>
      <c r="K45" s="62"/>
      <c r="L45" s="75"/>
      <c r="M45" s="75"/>
      <c r="N45" s="71">
        <v>2.5</v>
      </c>
      <c r="O45" s="72">
        <v>1</v>
      </c>
      <c r="P45" s="72">
        <v>1</v>
      </c>
      <c r="Q45" s="72">
        <v>1</v>
      </c>
      <c r="R45" s="72">
        <v>1</v>
      </c>
      <c r="S45" s="135">
        <v>1</v>
      </c>
      <c r="T45" s="140">
        <f t="shared" si="2"/>
        <v>1</v>
      </c>
      <c r="U45" s="202"/>
      <c r="V45" s="105"/>
      <c r="AC45" s="117">
        <f t="shared" si="0"/>
        <v>2.5</v>
      </c>
      <c r="AD45" s="118">
        <f t="shared" si="1"/>
        <v>2.5</v>
      </c>
    </row>
    <row r="46" spans="1:30" ht="24.75" customHeight="1">
      <c r="A46" s="30">
        <v>25</v>
      </c>
      <c r="B46" s="197" t="s">
        <v>67</v>
      </c>
      <c r="C46" s="197"/>
      <c r="D46" s="197"/>
      <c r="E46" s="197"/>
      <c r="F46" s="197"/>
      <c r="G46" s="197"/>
      <c r="H46" s="197"/>
      <c r="I46" s="197"/>
      <c r="J46" s="62" t="s">
        <v>42</v>
      </c>
      <c r="K46" s="77"/>
      <c r="L46" s="77"/>
      <c r="M46" s="77"/>
      <c r="N46" s="71">
        <v>2.5</v>
      </c>
      <c r="O46" s="72">
        <v>1</v>
      </c>
      <c r="P46" s="72">
        <v>1</v>
      </c>
      <c r="Q46" s="72">
        <v>1</v>
      </c>
      <c r="R46" s="72">
        <v>1</v>
      </c>
      <c r="S46" s="135">
        <v>1</v>
      </c>
      <c r="T46" s="141">
        <f t="shared" si="2"/>
        <v>1</v>
      </c>
      <c r="U46" s="204"/>
      <c r="V46" s="105"/>
      <c r="AC46" s="117">
        <f t="shared" si="0"/>
        <v>2.5</v>
      </c>
      <c r="AD46" s="118">
        <f t="shared" si="1"/>
        <v>2.5</v>
      </c>
    </row>
    <row r="47" spans="1:30" ht="24.75" customHeight="1">
      <c r="A47" s="219" t="s">
        <v>68</v>
      </c>
      <c r="B47" s="220"/>
      <c r="C47" s="220"/>
      <c r="D47" s="220"/>
      <c r="E47" s="220"/>
      <c r="F47" s="220"/>
      <c r="G47" s="220"/>
      <c r="H47" s="220"/>
      <c r="I47" s="220"/>
      <c r="J47" s="220"/>
      <c r="K47" s="220"/>
      <c r="L47" s="220"/>
      <c r="M47" s="220"/>
      <c r="N47" s="220"/>
      <c r="O47" s="220"/>
      <c r="P47" s="220"/>
      <c r="Q47" s="220"/>
      <c r="R47" s="220"/>
      <c r="S47" s="220"/>
      <c r="T47" s="220"/>
      <c r="U47" s="102">
        <v>20</v>
      </c>
      <c r="V47" s="105"/>
      <c r="AC47" s="117" t="b">
        <f t="shared" si="0"/>
        <v>0</v>
      </c>
      <c r="AD47" s="118">
        <f t="shared" si="1"/>
        <v>0</v>
      </c>
    </row>
    <row r="48" spans="1:30" ht="51" customHeight="1">
      <c r="A48" s="31">
        <v>26</v>
      </c>
      <c r="B48" s="221" t="s">
        <v>69</v>
      </c>
      <c r="C48" s="221"/>
      <c r="D48" s="221"/>
      <c r="E48" s="221"/>
      <c r="F48" s="221"/>
      <c r="G48" s="221"/>
      <c r="H48" s="221"/>
      <c r="I48" s="221"/>
      <c r="J48" s="62" t="s">
        <v>42</v>
      </c>
      <c r="K48" s="62"/>
      <c r="L48" s="62"/>
      <c r="M48" s="62"/>
      <c r="N48" s="78">
        <v>4</v>
      </c>
      <c r="O48" s="72">
        <v>1</v>
      </c>
      <c r="P48" s="72">
        <v>1</v>
      </c>
      <c r="Q48" s="72">
        <v>1</v>
      </c>
      <c r="R48" s="72">
        <v>1</v>
      </c>
      <c r="S48" s="135">
        <v>1</v>
      </c>
      <c r="T48" s="139">
        <f>AVERAGE(O48:S48)</f>
        <v>1</v>
      </c>
      <c r="U48" s="205">
        <f>IF(SUM(N48:N52)&lt;&gt;U47,"AJUSTAR PONDERACION",IF(SUM(AD48:AD52)=0,"",IF(SUM(AC48:AC52)=U47,IF(SUM(N48:N52)=U47,SUM(AD48:AD52),"Ajustar ponderacion"),"Ajustar ponderacion")))</f>
        <v>20</v>
      </c>
      <c r="V48" s="105"/>
      <c r="AC48" s="117">
        <f t="shared" si="0"/>
        <v>4</v>
      </c>
      <c r="AD48" s="118">
        <f t="shared" si="1"/>
        <v>4</v>
      </c>
    </row>
    <row r="49" spans="1:30" ht="46" customHeight="1">
      <c r="A49" s="29">
        <v>27</v>
      </c>
      <c r="B49" s="196" t="s">
        <v>70</v>
      </c>
      <c r="C49" s="196"/>
      <c r="D49" s="196"/>
      <c r="E49" s="196"/>
      <c r="F49" s="196"/>
      <c r="G49" s="196"/>
      <c r="H49" s="196"/>
      <c r="I49" s="196"/>
      <c r="J49" s="75" t="s">
        <v>42</v>
      </c>
      <c r="K49" s="75"/>
      <c r="L49" s="75"/>
      <c r="M49" s="75"/>
      <c r="N49" s="78">
        <v>4</v>
      </c>
      <c r="O49" s="72">
        <v>1</v>
      </c>
      <c r="P49" s="72">
        <v>1</v>
      </c>
      <c r="Q49" s="72">
        <v>1</v>
      </c>
      <c r="R49" s="72">
        <v>1</v>
      </c>
      <c r="S49" s="135">
        <v>1</v>
      </c>
      <c r="T49" s="140">
        <f>AVERAGE(O49:S49)</f>
        <v>1</v>
      </c>
      <c r="U49" s="206"/>
      <c r="V49" s="105"/>
      <c r="AC49" s="117">
        <f t="shared" si="0"/>
        <v>4</v>
      </c>
      <c r="AD49" s="118">
        <f t="shared" si="1"/>
        <v>4</v>
      </c>
    </row>
    <row r="50" spans="1:30" ht="34" customHeight="1">
      <c r="A50" s="29">
        <v>28</v>
      </c>
      <c r="B50" s="196" t="s">
        <v>71</v>
      </c>
      <c r="C50" s="196"/>
      <c r="D50" s="196"/>
      <c r="E50" s="196"/>
      <c r="F50" s="196"/>
      <c r="G50" s="196"/>
      <c r="H50" s="196"/>
      <c r="I50" s="196"/>
      <c r="J50" s="75" t="s">
        <v>42</v>
      </c>
      <c r="K50" s="75"/>
      <c r="L50" s="75"/>
      <c r="M50" s="75"/>
      <c r="N50" s="78">
        <v>4</v>
      </c>
      <c r="O50" s="72">
        <v>1</v>
      </c>
      <c r="P50" s="72">
        <v>1</v>
      </c>
      <c r="Q50" s="72">
        <v>1</v>
      </c>
      <c r="R50" s="72">
        <v>1</v>
      </c>
      <c r="S50" s="135">
        <v>1</v>
      </c>
      <c r="T50" s="140">
        <f>AVERAGE(O50:S50)</f>
        <v>1</v>
      </c>
      <c r="U50" s="206"/>
      <c r="V50" s="105"/>
      <c r="AC50" s="117">
        <f t="shared" si="0"/>
        <v>4</v>
      </c>
      <c r="AD50" s="118">
        <f t="shared" si="1"/>
        <v>4</v>
      </c>
    </row>
    <row r="51" spans="1:30" ht="24.75" customHeight="1">
      <c r="A51" s="29">
        <v>29</v>
      </c>
      <c r="B51" s="196" t="s">
        <v>72</v>
      </c>
      <c r="C51" s="196"/>
      <c r="D51" s="196"/>
      <c r="E51" s="196"/>
      <c r="F51" s="196"/>
      <c r="G51" s="196"/>
      <c r="H51" s="196"/>
      <c r="I51" s="196"/>
      <c r="J51" s="75" t="s">
        <v>42</v>
      </c>
      <c r="K51" s="75"/>
      <c r="L51" s="75"/>
      <c r="M51" s="75"/>
      <c r="N51" s="78">
        <v>4</v>
      </c>
      <c r="O51" s="72">
        <v>1</v>
      </c>
      <c r="P51" s="72">
        <v>1</v>
      </c>
      <c r="Q51" s="72">
        <v>1</v>
      </c>
      <c r="R51" s="72">
        <v>1</v>
      </c>
      <c r="S51" s="135">
        <v>1</v>
      </c>
      <c r="T51" s="140">
        <f>AVERAGE(O51:S51)</f>
        <v>1</v>
      </c>
      <c r="U51" s="206"/>
      <c r="V51" s="105"/>
      <c r="AC51" s="117">
        <f t="shared" si="0"/>
        <v>4</v>
      </c>
      <c r="AD51" s="118">
        <f t="shared" si="1"/>
        <v>4</v>
      </c>
    </row>
    <row r="52" spans="1:30" ht="24.75" customHeight="1">
      <c r="A52" s="30">
        <v>27</v>
      </c>
      <c r="B52" s="197" t="s">
        <v>73</v>
      </c>
      <c r="C52" s="197"/>
      <c r="D52" s="197"/>
      <c r="E52" s="197"/>
      <c r="F52" s="197"/>
      <c r="G52" s="197"/>
      <c r="H52" s="197"/>
      <c r="I52" s="197"/>
      <c r="J52" s="77" t="s">
        <v>42</v>
      </c>
      <c r="K52" s="77"/>
      <c r="L52" s="77"/>
      <c r="M52" s="77"/>
      <c r="N52" s="78">
        <v>4</v>
      </c>
      <c r="O52" s="72">
        <v>1</v>
      </c>
      <c r="P52" s="72">
        <v>1</v>
      </c>
      <c r="Q52" s="72">
        <v>1</v>
      </c>
      <c r="R52" s="72">
        <v>1</v>
      </c>
      <c r="S52" s="135">
        <v>1</v>
      </c>
      <c r="T52" s="141">
        <f>AVERAGE(O52:S52)</f>
        <v>1</v>
      </c>
      <c r="U52" s="206"/>
      <c r="V52" s="105"/>
      <c r="AC52" s="117">
        <f t="shared" si="0"/>
        <v>4</v>
      </c>
      <c r="AD52" s="118">
        <f t="shared" si="1"/>
        <v>4</v>
      </c>
    </row>
    <row r="53" spans="1:30" ht="24.75" customHeight="1">
      <c r="A53" s="211" t="s">
        <v>74</v>
      </c>
      <c r="B53" s="212"/>
      <c r="C53" s="212"/>
      <c r="D53" s="212"/>
      <c r="E53" s="212"/>
      <c r="F53" s="212"/>
      <c r="G53" s="212"/>
      <c r="H53" s="212"/>
      <c r="I53" s="212"/>
      <c r="J53" s="212"/>
      <c r="K53" s="212"/>
      <c r="L53" s="212"/>
      <c r="M53" s="212"/>
      <c r="N53" s="212"/>
      <c r="O53" s="212"/>
      <c r="P53" s="212"/>
      <c r="Q53" s="212"/>
      <c r="R53" s="212"/>
      <c r="S53" s="212"/>
      <c r="T53" s="212"/>
      <c r="U53" s="111">
        <v>10</v>
      </c>
      <c r="V53" s="105"/>
      <c r="AC53" s="117" t="b">
        <f t="shared" si="0"/>
        <v>0</v>
      </c>
      <c r="AD53" s="118">
        <f t="shared" si="1"/>
        <v>0</v>
      </c>
    </row>
    <row r="54" spans="1:30" ht="35" customHeight="1">
      <c r="A54" s="33">
        <v>28</v>
      </c>
      <c r="B54" s="213" t="s">
        <v>75</v>
      </c>
      <c r="C54" s="213"/>
      <c r="D54" s="213"/>
      <c r="E54" s="213"/>
      <c r="F54" s="213"/>
      <c r="G54" s="213"/>
      <c r="H54" s="213"/>
      <c r="I54" s="213"/>
      <c r="J54" s="79" t="s">
        <v>42</v>
      </c>
      <c r="K54" s="79"/>
      <c r="L54" s="79"/>
      <c r="M54" s="79"/>
      <c r="N54" s="80">
        <v>10</v>
      </c>
      <c r="O54" s="81">
        <v>1</v>
      </c>
      <c r="P54" s="81">
        <v>1</v>
      </c>
      <c r="Q54" s="81">
        <v>1</v>
      </c>
      <c r="R54" s="81">
        <v>1</v>
      </c>
      <c r="S54" s="142">
        <v>1</v>
      </c>
      <c r="T54" s="143">
        <f>AVERAGE(O54:S54)</f>
        <v>1</v>
      </c>
      <c r="U54" s="109">
        <f>IF(SUM(N54)&lt;&gt;U53,"ajustar ponderacion",IF(SUM(AD54)=0,"",IF(SUM(AC54)=U53,IF(SUM(N54)=U53,SUM(U53),"ajustar ponderacion"),"ajustar ponderacion")))</f>
        <v>10</v>
      </c>
      <c r="V54" s="105"/>
      <c r="AC54" s="117">
        <f t="shared" si="0"/>
        <v>10</v>
      </c>
      <c r="AD54" s="119">
        <f t="shared" si="1"/>
        <v>10</v>
      </c>
    </row>
    <row r="55" spans="1:30" ht="17.25" customHeight="1">
      <c r="A55" s="214" t="s">
        <v>76</v>
      </c>
      <c r="B55" s="215"/>
      <c r="C55" s="215"/>
      <c r="D55" s="215"/>
      <c r="E55" s="215"/>
      <c r="F55" s="215"/>
      <c r="G55" s="215"/>
      <c r="H55" s="215"/>
      <c r="I55" s="215"/>
      <c r="J55" s="215"/>
      <c r="K55" s="215"/>
      <c r="L55" s="215"/>
      <c r="M55" s="215"/>
      <c r="N55" s="215"/>
      <c r="O55" s="215"/>
      <c r="P55" s="215"/>
      <c r="Q55" s="215"/>
      <c r="R55" s="215"/>
      <c r="S55" s="215"/>
      <c r="T55" s="216"/>
      <c r="U55" s="146">
        <f>IFERROR(U21+U27+U48+U54,"revise el formulario")</f>
        <v>97.6</v>
      </c>
      <c r="V55" s="105"/>
      <c r="AC55" s="117"/>
      <c r="AD55" s="118"/>
    </row>
    <row r="56" spans="1:30" ht="17.25" customHeight="1">
      <c r="A56" s="199">
        <v>29</v>
      </c>
      <c r="B56" s="249" t="s">
        <v>77</v>
      </c>
      <c r="C56" s="250"/>
      <c r="D56" s="248" t="s">
        <v>91</v>
      </c>
      <c r="E56" s="186"/>
      <c r="F56" s="186"/>
      <c r="G56" s="186"/>
      <c r="H56" s="186"/>
      <c r="I56" s="186"/>
      <c r="J56" s="186"/>
      <c r="K56" s="186"/>
      <c r="L56" s="186"/>
      <c r="M56" s="186"/>
      <c r="N56" s="186"/>
      <c r="O56" s="186"/>
      <c r="P56" s="186"/>
      <c r="Q56" s="186"/>
      <c r="R56" s="186"/>
      <c r="S56" s="186"/>
      <c r="T56" s="186"/>
      <c r="U56" s="187"/>
      <c r="V56" s="105"/>
      <c r="AC56" s="120"/>
      <c r="AD56" s="118"/>
    </row>
    <row r="57" spans="1:30" s="2" customFormat="1" ht="111.5" customHeight="1">
      <c r="A57" s="200"/>
      <c r="B57" s="251"/>
      <c r="C57" s="252"/>
      <c r="D57" s="188"/>
      <c r="E57" s="189"/>
      <c r="F57" s="189"/>
      <c r="G57" s="189"/>
      <c r="H57" s="189"/>
      <c r="I57" s="189"/>
      <c r="J57" s="189"/>
      <c r="K57" s="189"/>
      <c r="L57" s="189"/>
      <c r="M57" s="189"/>
      <c r="N57" s="189"/>
      <c r="O57" s="189"/>
      <c r="P57" s="189"/>
      <c r="Q57" s="189"/>
      <c r="R57" s="189"/>
      <c r="S57" s="189"/>
      <c r="T57" s="189"/>
      <c r="U57" s="190"/>
      <c r="V57" s="115"/>
      <c r="AC57" s="116"/>
      <c r="AD57" s="118"/>
    </row>
    <row r="58" spans="1:30" s="2" customFormat="1">
      <c r="A58" s="34" t="s">
        <v>79</v>
      </c>
      <c r="B58" s="35"/>
      <c r="C58" s="35"/>
      <c r="D58" s="35"/>
      <c r="E58" s="35"/>
      <c r="F58" s="35"/>
      <c r="G58" s="35"/>
      <c r="H58" s="35"/>
      <c r="I58" s="35"/>
      <c r="J58" s="35"/>
      <c r="K58" s="35"/>
      <c r="L58" s="35"/>
      <c r="M58" s="35"/>
      <c r="N58" s="82"/>
      <c r="O58" s="82"/>
      <c r="P58" s="82"/>
      <c r="Q58" s="82"/>
      <c r="R58" s="82"/>
      <c r="S58" s="82"/>
      <c r="T58" s="82"/>
      <c r="U58" s="115"/>
      <c r="V58" s="115"/>
      <c r="AC58" s="116"/>
      <c r="AD58" s="118"/>
    </row>
    <row r="59" spans="1:30">
      <c r="A59" s="36"/>
      <c r="B59" s="37"/>
      <c r="C59" s="37"/>
      <c r="D59" s="37"/>
      <c r="E59" s="37"/>
      <c r="F59" s="37"/>
      <c r="G59" s="37"/>
      <c r="H59" s="37"/>
      <c r="I59" s="37"/>
      <c r="J59" s="37"/>
      <c r="K59" s="37"/>
      <c r="L59" s="37"/>
      <c r="M59" s="37"/>
      <c r="N59" s="41"/>
      <c r="O59" s="41"/>
      <c r="P59" s="41"/>
      <c r="Q59" s="41"/>
      <c r="R59" s="41"/>
      <c r="S59" s="41"/>
      <c r="T59" s="41"/>
      <c r="U59" s="105"/>
      <c r="V59" s="105"/>
      <c r="AC59" s="118"/>
      <c r="AD59" s="118"/>
    </row>
    <row r="60" spans="1:30">
      <c r="A60" s="36"/>
      <c r="B60" s="37"/>
      <c r="C60" s="37"/>
      <c r="D60" s="37"/>
      <c r="E60" s="37"/>
      <c r="F60" s="37"/>
      <c r="G60" s="37"/>
      <c r="H60" s="37"/>
      <c r="I60" s="37"/>
      <c r="J60" s="37"/>
      <c r="K60" s="37"/>
      <c r="L60" s="37"/>
      <c r="M60" s="37"/>
      <c r="N60" s="41"/>
      <c r="O60" s="41"/>
      <c r="P60" s="41"/>
      <c r="Q60" s="41"/>
      <c r="R60" s="41"/>
      <c r="S60" s="41"/>
      <c r="T60" s="41"/>
      <c r="U60" s="105"/>
      <c r="V60" s="105"/>
    </row>
    <row r="61" spans="1:30">
      <c r="A61" s="36"/>
      <c r="B61" s="37"/>
      <c r="C61" s="37"/>
      <c r="D61" s="37"/>
      <c r="E61" s="37"/>
      <c r="F61" s="37"/>
      <c r="G61" s="37"/>
      <c r="H61" s="37"/>
      <c r="I61" s="37"/>
      <c r="J61" s="37"/>
      <c r="K61" s="37"/>
      <c r="L61" s="37"/>
      <c r="M61" s="37"/>
      <c r="N61" s="41"/>
      <c r="O61" s="41"/>
      <c r="P61" s="41"/>
      <c r="Q61" s="41"/>
      <c r="R61" s="41"/>
      <c r="S61" s="41"/>
      <c r="T61" s="41"/>
      <c r="U61" s="105"/>
      <c r="V61" s="105"/>
    </row>
    <row r="62" spans="1:30">
      <c r="A62" s="36"/>
      <c r="B62" s="37"/>
      <c r="C62" s="37"/>
      <c r="D62" s="37"/>
      <c r="E62" s="37"/>
      <c r="F62" s="37"/>
      <c r="G62" s="37"/>
      <c r="H62" s="37"/>
      <c r="I62" s="37"/>
      <c r="J62" s="37"/>
      <c r="K62" s="37"/>
      <c r="L62" s="37"/>
      <c r="M62" s="37"/>
      <c r="N62" s="41"/>
      <c r="O62" s="41"/>
      <c r="P62" s="41"/>
      <c r="Q62" s="41"/>
      <c r="R62" s="41"/>
      <c r="S62" s="41"/>
      <c r="T62" s="41"/>
      <c r="U62" s="105"/>
      <c r="V62" s="105"/>
    </row>
    <row r="63" spans="1:30">
      <c r="A63" s="38"/>
      <c r="B63" s="217"/>
      <c r="C63" s="217"/>
      <c r="D63" s="217"/>
      <c r="E63" s="217"/>
      <c r="F63" s="40"/>
      <c r="G63" s="41"/>
      <c r="H63" s="41"/>
      <c r="I63" s="218"/>
      <c r="J63" s="218"/>
      <c r="K63" s="218"/>
      <c r="L63" s="41"/>
      <c r="M63" s="41"/>
      <c r="N63" s="41"/>
      <c r="O63" s="41"/>
      <c r="P63" s="41"/>
      <c r="Q63" s="41"/>
      <c r="R63" s="41"/>
      <c r="S63" s="41"/>
      <c r="T63" s="41"/>
      <c r="U63" s="105"/>
      <c r="V63" s="105"/>
    </row>
    <row r="64" spans="1:30" ht="14.5" customHeight="1">
      <c r="A64" s="38"/>
      <c r="B64" s="39" t="s">
        <v>80</v>
      </c>
      <c r="C64" s="42"/>
      <c r="D64" s="42"/>
      <c r="E64" s="42"/>
      <c r="F64" s="40"/>
      <c r="G64" s="41"/>
      <c r="H64" s="41"/>
      <c r="I64" s="207" t="s">
        <v>81</v>
      </c>
      <c r="J64" s="207"/>
      <c r="K64" s="207"/>
      <c r="L64" s="207"/>
      <c r="M64" s="41"/>
      <c r="N64" s="41"/>
      <c r="O64" s="41"/>
      <c r="P64" s="41"/>
      <c r="Q64" s="41"/>
      <c r="R64" s="41"/>
      <c r="S64" s="41"/>
      <c r="T64" s="41"/>
      <c r="U64" s="105"/>
      <c r="V64" s="105"/>
    </row>
    <row r="65" spans="1:22" ht="15" customHeight="1">
      <c r="A65" s="38"/>
      <c r="B65" s="208" t="s">
        <v>82</v>
      </c>
      <c r="C65" s="209"/>
      <c r="D65" s="209"/>
      <c r="E65" s="209"/>
      <c r="F65" s="37"/>
      <c r="G65" s="121"/>
      <c r="H65" s="121"/>
      <c r="I65" s="208" t="s">
        <v>82</v>
      </c>
      <c r="J65" s="209"/>
      <c r="K65" s="209"/>
      <c r="L65" s="209"/>
      <c r="M65" s="125"/>
      <c r="N65" s="41"/>
      <c r="O65" s="41"/>
      <c r="P65" s="41"/>
      <c r="Q65" s="41"/>
      <c r="R65" s="41"/>
      <c r="S65" s="41"/>
      <c r="T65" s="41"/>
      <c r="U65" s="105"/>
      <c r="V65" s="105"/>
    </row>
    <row r="66" spans="1:22" ht="15" customHeight="1">
      <c r="A66" s="38"/>
      <c r="B66" s="210" t="s">
        <v>83</v>
      </c>
      <c r="C66" s="209"/>
      <c r="D66" s="209"/>
      <c r="E66" s="209"/>
      <c r="F66" s="37"/>
      <c r="G66" s="121"/>
      <c r="H66" s="121"/>
      <c r="I66" s="210" t="s">
        <v>84</v>
      </c>
      <c r="J66" s="209"/>
      <c r="K66" s="209"/>
      <c r="L66" s="209"/>
      <c r="M66" s="125"/>
      <c r="N66" s="41"/>
      <c r="O66" s="41"/>
      <c r="P66" s="41"/>
      <c r="Q66" s="41"/>
      <c r="R66" s="41"/>
      <c r="S66" s="41"/>
      <c r="T66" s="41"/>
      <c r="U66" s="105"/>
      <c r="V66" s="105"/>
    </row>
    <row r="67" spans="1:22" ht="15">
      <c r="A67" s="122"/>
      <c r="B67" s="198"/>
      <c r="C67" s="198"/>
      <c r="D67" s="198"/>
      <c r="E67" s="198"/>
      <c r="F67" s="123"/>
      <c r="G67" s="124"/>
      <c r="H67" s="124"/>
      <c r="I67" s="198"/>
      <c r="J67" s="198"/>
      <c r="K67" s="198"/>
      <c r="L67" s="124"/>
      <c r="M67" s="124"/>
      <c r="N67" s="126"/>
      <c r="O67" s="126"/>
      <c r="P67" s="126"/>
      <c r="Q67" s="126"/>
      <c r="R67" s="126"/>
      <c r="S67" s="126"/>
      <c r="T67" s="126"/>
      <c r="U67" s="127"/>
      <c r="V67" s="127"/>
    </row>
  </sheetData>
  <mergeCells count="82">
    <mergeCell ref="N5:P5"/>
    <mergeCell ref="Q5:R5"/>
    <mergeCell ref="T5:U5"/>
    <mergeCell ref="A8:D8"/>
    <mergeCell ref="G8:H8"/>
    <mergeCell ref="I8:J8"/>
    <mergeCell ref="P8:Q8"/>
    <mergeCell ref="U8:V8"/>
    <mergeCell ref="A10:C10"/>
    <mergeCell ref="D10:I10"/>
    <mergeCell ref="A11:C11"/>
    <mergeCell ref="D11:I11"/>
    <mergeCell ref="A12:C12"/>
    <mergeCell ref="D12:I12"/>
    <mergeCell ref="A13:C13"/>
    <mergeCell ref="D13:I13"/>
    <mergeCell ref="A14:C14"/>
    <mergeCell ref="D14:I14"/>
    <mergeCell ref="L14:M14"/>
    <mergeCell ref="A15:C15"/>
    <mergeCell ref="D15:I15"/>
    <mergeCell ref="L15:M15"/>
    <mergeCell ref="A16:C16"/>
    <mergeCell ref="D16:I16"/>
    <mergeCell ref="A17:C17"/>
    <mergeCell ref="D17:I17"/>
    <mergeCell ref="B19:I19"/>
    <mergeCell ref="A20:T20"/>
    <mergeCell ref="B21:I21"/>
    <mergeCell ref="B22:I22"/>
    <mergeCell ref="B23:I23"/>
    <mergeCell ref="B24:I24"/>
    <mergeCell ref="B25:I25"/>
    <mergeCell ref="A26:T26"/>
    <mergeCell ref="B27:I27"/>
    <mergeCell ref="B28:I28"/>
    <mergeCell ref="B29:I29"/>
    <mergeCell ref="B30:I30"/>
    <mergeCell ref="B31:I31"/>
    <mergeCell ref="B32:I32"/>
    <mergeCell ref="B33:I33"/>
    <mergeCell ref="B34:I34"/>
    <mergeCell ref="B35:I35"/>
    <mergeCell ref="B36:I36"/>
    <mergeCell ref="I63:K63"/>
    <mergeCell ref="A47:T47"/>
    <mergeCell ref="B48:I48"/>
    <mergeCell ref="B49:I49"/>
    <mergeCell ref="B50:I50"/>
    <mergeCell ref="B51:I51"/>
    <mergeCell ref="B67:E67"/>
    <mergeCell ref="I67:K67"/>
    <mergeCell ref="A56:A57"/>
    <mergeCell ref="U21:U25"/>
    <mergeCell ref="U27:U46"/>
    <mergeCell ref="U48:U52"/>
    <mergeCell ref="I64:L64"/>
    <mergeCell ref="B65:E65"/>
    <mergeCell ref="I65:L65"/>
    <mergeCell ref="B66:E66"/>
    <mergeCell ref="I66:L66"/>
    <mergeCell ref="B52:I52"/>
    <mergeCell ref="A53:T53"/>
    <mergeCell ref="B54:I54"/>
    <mergeCell ref="A55:T55"/>
    <mergeCell ref="B63:E63"/>
    <mergeCell ref="A1:C3"/>
    <mergeCell ref="D1:J3"/>
    <mergeCell ref="K1:M3"/>
    <mergeCell ref="T1:V3"/>
    <mergeCell ref="D56:U57"/>
    <mergeCell ref="B56:C57"/>
    <mergeCell ref="B42:I42"/>
    <mergeCell ref="B43:I43"/>
    <mergeCell ref="B44:I44"/>
    <mergeCell ref="B45:I45"/>
    <mergeCell ref="B46:I46"/>
    <mergeCell ref="B37:I37"/>
    <mergeCell ref="B38:I38"/>
    <mergeCell ref="B39:I39"/>
    <mergeCell ref="B40:I40"/>
    <mergeCell ref="B41:I41"/>
  </mergeCells>
  <pageMargins left="0.31496062992126" right="0.31496062992126" top="0.55118110236220497" bottom="0.55118110236220497" header="0.31496062992126" footer="0.31496062992126"/>
  <pageSetup scale="42"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pageSetUpPr fitToPage="1"/>
  </sheetPr>
  <dimension ref="A1:AF67"/>
  <sheetViews>
    <sheetView showGridLines="0" view="pageBreakPreview" zoomScale="70" zoomScaleNormal="120" zoomScalePageLayoutView="70" workbookViewId="0">
      <selection activeCell="S19" sqref="S19"/>
    </sheetView>
  </sheetViews>
  <sheetFormatPr baseColWidth="10" defaultColWidth="11.453125" defaultRowHeight="14"/>
  <cols>
    <col min="1" max="1" width="3.453125" style="3" customWidth="1"/>
    <col min="2" max="2" width="11.453125" style="3"/>
    <col min="3" max="3" width="14.36328125" style="3" customWidth="1"/>
    <col min="4" max="4" width="8.81640625" style="3" customWidth="1"/>
    <col min="5" max="6" width="11.6328125" style="3" customWidth="1"/>
    <col min="7" max="8" width="11.453125" style="3"/>
    <col min="9" max="9" width="6.453125" style="3" customWidth="1"/>
    <col min="10" max="10" width="9.1796875" style="3" customWidth="1"/>
    <col min="11" max="11" width="8.6328125" style="3" customWidth="1"/>
    <col min="12" max="12" width="12.453125" style="3" customWidth="1"/>
    <col min="13" max="13" width="13.36328125" style="3" customWidth="1"/>
    <col min="14" max="14" width="17.81640625" style="3" customWidth="1"/>
    <col min="15" max="15" width="13.81640625" style="3" customWidth="1"/>
    <col min="16" max="19" width="11.453125" style="3" customWidth="1"/>
    <col min="20" max="20" width="10.81640625" style="3" customWidth="1"/>
    <col min="21" max="21" width="13.1796875" style="3" customWidth="1"/>
    <col min="22" max="22" width="0.81640625" style="3" customWidth="1"/>
    <col min="23" max="16384" width="11.453125" style="3"/>
  </cols>
  <sheetData>
    <row r="1" spans="1:22" s="1" customFormat="1" ht="22" customHeight="1">
      <c r="A1" s="167"/>
      <c r="B1" s="168"/>
      <c r="C1" s="169"/>
      <c r="D1" s="176" t="s">
        <v>0</v>
      </c>
      <c r="E1" s="177"/>
      <c r="F1" s="177"/>
      <c r="G1" s="177"/>
      <c r="H1" s="177"/>
      <c r="I1" s="177"/>
      <c r="J1" s="178"/>
      <c r="K1" s="156" t="s">
        <v>1</v>
      </c>
      <c r="L1" s="156"/>
      <c r="M1" s="157"/>
      <c r="N1" s="43"/>
      <c r="O1" s="43"/>
      <c r="P1" s="43"/>
      <c r="Q1" s="43"/>
      <c r="R1" s="43"/>
      <c r="S1" s="43"/>
      <c r="T1" s="162"/>
      <c r="U1" s="163"/>
      <c r="V1" s="164"/>
    </row>
    <row r="2" spans="1:22" s="1" customFormat="1" ht="22" customHeight="1">
      <c r="A2" s="170"/>
      <c r="B2" s="171"/>
      <c r="C2" s="172"/>
      <c r="D2" s="179"/>
      <c r="E2" s="180"/>
      <c r="F2" s="180"/>
      <c r="G2" s="180"/>
      <c r="H2" s="180"/>
      <c r="I2" s="180"/>
      <c r="J2" s="181"/>
      <c r="K2" s="158"/>
      <c r="L2" s="158"/>
      <c r="M2" s="159"/>
      <c r="N2" s="44"/>
      <c r="O2" s="44"/>
      <c r="P2" s="44"/>
      <c r="Q2" s="44"/>
      <c r="R2" s="44"/>
      <c r="S2" s="44"/>
      <c r="T2" s="165"/>
      <c r="U2" s="165"/>
      <c r="V2" s="166"/>
    </row>
    <row r="3" spans="1:22" s="1" customFormat="1" ht="22" customHeight="1">
      <c r="A3" s="173"/>
      <c r="B3" s="174"/>
      <c r="C3" s="175"/>
      <c r="D3" s="182"/>
      <c r="E3" s="183"/>
      <c r="F3" s="183"/>
      <c r="G3" s="183"/>
      <c r="H3" s="183"/>
      <c r="I3" s="183"/>
      <c r="J3" s="184"/>
      <c r="K3" s="160"/>
      <c r="L3" s="160"/>
      <c r="M3" s="161"/>
      <c r="N3" s="44"/>
      <c r="O3" s="44"/>
      <c r="P3" s="44"/>
      <c r="Q3" s="44"/>
      <c r="R3" s="44"/>
      <c r="S3" s="44"/>
      <c r="T3" s="165"/>
      <c r="U3" s="165"/>
      <c r="V3" s="166"/>
    </row>
    <row r="4" spans="1:22" s="1" customFormat="1" ht="12.75" customHeight="1">
      <c r="A4" s="4"/>
      <c r="C4" s="46"/>
      <c r="D4" s="46"/>
      <c r="E4" s="46"/>
      <c r="F4" s="46"/>
      <c r="G4" s="46"/>
      <c r="H4" s="46"/>
      <c r="I4" s="46"/>
      <c r="J4" s="46"/>
      <c r="K4" s="46"/>
      <c r="L4" s="46"/>
      <c r="M4" s="45"/>
      <c r="N4" s="46"/>
      <c r="O4" s="46"/>
      <c r="P4" s="46"/>
      <c r="Q4" s="46"/>
      <c r="R4" s="131"/>
      <c r="S4" s="131"/>
      <c r="T4" s="51"/>
      <c r="V4" s="83"/>
    </row>
    <row r="5" spans="1:22" s="1" customFormat="1" ht="31" customHeight="1">
      <c r="A5" s="4"/>
      <c r="B5" s="7" t="s">
        <v>2</v>
      </c>
      <c r="C5" s="7" t="s">
        <v>3</v>
      </c>
      <c r="D5" s="49"/>
      <c r="E5" s="7" t="s">
        <v>4</v>
      </c>
      <c r="F5" s="7" t="s">
        <v>5</v>
      </c>
      <c r="H5" s="9" t="s">
        <v>6</v>
      </c>
      <c r="I5" s="47">
        <v>2</v>
      </c>
      <c r="K5" s="9" t="s">
        <v>7</v>
      </c>
      <c r="L5" s="47" t="s">
        <v>8</v>
      </c>
      <c r="M5" s="48"/>
      <c r="N5" s="240"/>
      <c r="O5" s="240"/>
      <c r="P5" s="240"/>
      <c r="Q5" s="241"/>
      <c r="R5" s="241"/>
      <c r="S5" s="132"/>
      <c r="T5" s="240"/>
      <c r="U5" s="240"/>
      <c r="V5" s="83"/>
    </row>
    <row r="6" spans="1:22" s="1" customFormat="1" ht="24" customHeight="1">
      <c r="A6" s="10"/>
      <c r="B6" s="11"/>
      <c r="C6" s="12"/>
      <c r="D6" s="12"/>
      <c r="E6" s="12"/>
      <c r="F6" s="12"/>
      <c r="G6" s="12"/>
      <c r="H6" s="12"/>
      <c r="I6" s="12"/>
      <c r="J6" s="12"/>
      <c r="K6" s="12"/>
      <c r="L6" s="12"/>
      <c r="M6" s="50"/>
      <c r="N6" s="46"/>
      <c r="O6" s="46"/>
      <c r="P6" s="46"/>
      <c r="Q6" s="46"/>
      <c r="R6" s="131"/>
      <c r="S6" s="131"/>
      <c r="T6" s="51"/>
      <c r="V6" s="83"/>
    </row>
    <row r="7" spans="1:22" s="1" customFormat="1" ht="18" customHeight="1">
      <c r="A7" s="4"/>
      <c r="V7" s="83"/>
    </row>
    <row r="8" spans="1:22" s="1" customFormat="1" ht="13.5" customHeight="1">
      <c r="A8" s="242" t="s">
        <v>9</v>
      </c>
      <c r="B8" s="243"/>
      <c r="C8" s="243"/>
      <c r="D8" s="243"/>
      <c r="E8" s="13">
        <v>46041</v>
      </c>
      <c r="F8" s="14"/>
      <c r="G8" s="244" t="s">
        <v>10</v>
      </c>
      <c r="H8" s="244"/>
      <c r="I8" s="245">
        <v>46045</v>
      </c>
      <c r="J8" s="243"/>
      <c r="K8" s="17"/>
      <c r="L8" s="51"/>
      <c r="P8" s="246"/>
      <c r="Q8" s="171"/>
      <c r="S8" s="133"/>
      <c r="U8" s="246"/>
      <c r="V8" s="247"/>
    </row>
    <row r="9" spans="1:22" s="1" customFormat="1" ht="17.25" customHeight="1">
      <c r="A9" s="15"/>
      <c r="B9" s="14"/>
      <c r="C9" s="14"/>
      <c r="D9" s="14"/>
      <c r="E9" s="16"/>
      <c r="F9" s="16"/>
      <c r="G9" s="17"/>
      <c r="H9" s="17"/>
      <c r="I9" s="17"/>
      <c r="J9" s="17"/>
      <c r="K9" s="17"/>
      <c r="L9" s="17"/>
      <c r="M9" s="17"/>
      <c r="N9" s="17"/>
      <c r="O9" s="17"/>
      <c r="R9" s="85"/>
      <c r="S9" s="85"/>
      <c r="T9" s="85"/>
      <c r="U9" s="85"/>
      <c r="V9" s="86"/>
    </row>
    <row r="10" spans="1:22" s="1" customFormat="1" ht="12.75" customHeight="1">
      <c r="A10" s="234" t="s">
        <v>11</v>
      </c>
      <c r="B10" s="235"/>
      <c r="C10" s="235"/>
      <c r="D10" s="236">
        <v>7</v>
      </c>
      <c r="E10" s="236"/>
      <c r="F10" s="236"/>
      <c r="G10" s="236"/>
      <c r="H10" s="236"/>
      <c r="I10" s="236"/>
      <c r="J10" s="17"/>
      <c r="K10" s="17"/>
      <c r="L10" s="17"/>
      <c r="M10" s="17"/>
      <c r="N10" s="17"/>
      <c r="O10" s="17"/>
      <c r="R10" s="85"/>
      <c r="S10" s="85"/>
      <c r="T10" s="85"/>
      <c r="U10" s="85"/>
      <c r="V10" s="86"/>
    </row>
    <row r="11" spans="1:22" s="1" customFormat="1" ht="12.75" customHeight="1">
      <c r="A11" s="234" t="s">
        <v>12</v>
      </c>
      <c r="B11" s="235"/>
      <c r="C11" s="235"/>
      <c r="D11" s="236" t="s">
        <v>8</v>
      </c>
      <c r="E11" s="236"/>
      <c r="F11" s="236"/>
      <c r="G11" s="236"/>
      <c r="H11" s="236"/>
      <c r="I11" s="236"/>
      <c r="J11" s="18"/>
      <c r="K11" s="18"/>
      <c r="L11" s="18"/>
      <c r="M11" s="18"/>
      <c r="N11" s="18"/>
      <c r="O11" s="18"/>
      <c r="P11" s="18"/>
      <c r="Q11" s="18"/>
      <c r="R11" s="18"/>
      <c r="S11" s="18"/>
      <c r="T11" s="18"/>
      <c r="U11" s="18"/>
      <c r="V11" s="87"/>
    </row>
    <row r="12" spans="1:22" s="1" customFormat="1" ht="12.75" customHeight="1">
      <c r="A12" s="234" t="s">
        <v>13</v>
      </c>
      <c r="B12" s="235"/>
      <c r="C12" s="235"/>
      <c r="D12" s="236" t="s">
        <v>14</v>
      </c>
      <c r="E12" s="236"/>
      <c r="F12" s="236"/>
      <c r="G12" s="236"/>
      <c r="H12" s="236"/>
      <c r="I12" s="236"/>
      <c r="J12" s="18"/>
      <c r="K12" s="18"/>
      <c r="L12" s="18"/>
      <c r="M12" s="18"/>
      <c r="N12" s="18"/>
      <c r="O12" s="18"/>
      <c r="P12" s="18"/>
      <c r="R12" s="85"/>
      <c r="S12" s="85"/>
      <c r="T12" s="85"/>
      <c r="U12" s="85"/>
      <c r="V12" s="86"/>
    </row>
    <row r="13" spans="1:22" s="1" customFormat="1" ht="12.75" customHeight="1">
      <c r="A13" s="234" t="s">
        <v>15</v>
      </c>
      <c r="B13" s="235"/>
      <c r="C13" s="235"/>
      <c r="D13" s="236" t="s">
        <v>5</v>
      </c>
      <c r="E13" s="236"/>
      <c r="F13" s="236"/>
      <c r="G13" s="236"/>
      <c r="H13" s="236"/>
      <c r="I13" s="236"/>
      <c r="J13" s="18"/>
      <c r="L13" s="18"/>
      <c r="M13" s="18"/>
      <c r="N13" s="18"/>
      <c r="O13" s="18"/>
      <c r="P13" s="18"/>
      <c r="Q13" s="18"/>
      <c r="R13" s="18"/>
      <c r="S13" s="18"/>
      <c r="T13" s="85"/>
      <c r="U13" s="85"/>
      <c r="V13" s="86"/>
    </row>
    <row r="14" spans="1:22" s="1" customFormat="1" ht="12.75" customHeight="1">
      <c r="A14" s="234" t="s">
        <v>16</v>
      </c>
      <c r="B14" s="235"/>
      <c r="C14" s="235"/>
      <c r="D14" s="236" t="s">
        <v>17</v>
      </c>
      <c r="E14" s="236"/>
      <c r="F14" s="236"/>
      <c r="G14" s="236"/>
      <c r="H14" s="236"/>
      <c r="I14" s="236"/>
      <c r="J14" s="17" t="s">
        <v>18</v>
      </c>
      <c r="L14" s="237" t="s">
        <v>3</v>
      </c>
      <c r="M14" s="237"/>
      <c r="N14" s="18"/>
      <c r="O14" s="18"/>
      <c r="P14" s="18"/>
      <c r="R14" s="85"/>
      <c r="T14" s="85"/>
      <c r="U14" s="85"/>
      <c r="V14" s="86"/>
    </row>
    <row r="15" spans="1:22" s="1" customFormat="1" ht="12.75" customHeight="1">
      <c r="A15" s="234" t="s">
        <v>19</v>
      </c>
      <c r="B15" s="235"/>
      <c r="C15" s="235"/>
      <c r="D15" s="236" t="s">
        <v>20</v>
      </c>
      <c r="E15" s="236"/>
      <c r="F15" s="236"/>
      <c r="G15" s="236"/>
      <c r="H15" s="236"/>
      <c r="I15" s="236"/>
      <c r="J15" s="17" t="s">
        <v>21</v>
      </c>
      <c r="L15" s="237" t="s">
        <v>22</v>
      </c>
      <c r="M15" s="237"/>
      <c r="N15" s="18"/>
      <c r="O15" s="18"/>
      <c r="P15" s="18"/>
      <c r="Q15" s="18"/>
      <c r="R15" s="18"/>
      <c r="T15" s="85"/>
      <c r="U15" s="85"/>
      <c r="V15" s="86"/>
    </row>
    <row r="16" spans="1:22" s="1" customFormat="1" ht="12.75" customHeight="1">
      <c r="A16" s="238" t="s">
        <v>23</v>
      </c>
      <c r="B16" s="239"/>
      <c r="C16" s="239"/>
      <c r="D16" s="236" t="s">
        <v>24</v>
      </c>
      <c r="E16" s="236"/>
      <c r="F16" s="236"/>
      <c r="G16" s="236"/>
      <c r="H16" s="236"/>
      <c r="I16" s="236"/>
      <c r="J16" s="18"/>
      <c r="K16" s="18"/>
      <c r="L16" s="18"/>
      <c r="M16" s="18"/>
      <c r="N16" s="18"/>
      <c r="O16" s="18"/>
      <c r="P16" s="18"/>
      <c r="R16" s="85"/>
      <c r="S16" s="85"/>
      <c r="T16" s="85"/>
      <c r="U16" s="85"/>
      <c r="V16" s="86"/>
    </row>
    <row r="17" spans="1:32" s="1" customFormat="1" ht="12.75" customHeight="1">
      <c r="A17" s="225" t="s">
        <v>25</v>
      </c>
      <c r="B17" s="226"/>
      <c r="C17" s="226"/>
      <c r="D17" s="227">
        <v>46053</v>
      </c>
      <c r="E17" s="228"/>
      <c r="F17" s="228"/>
      <c r="G17" s="228"/>
      <c r="H17" s="228"/>
      <c r="I17" s="228"/>
      <c r="J17" s="19"/>
      <c r="K17" s="19"/>
      <c r="L17" s="19"/>
      <c r="M17" s="19"/>
      <c r="N17" s="52"/>
      <c r="O17" s="53"/>
      <c r="P17" s="5"/>
      <c r="Q17" s="5"/>
      <c r="R17" s="23"/>
      <c r="S17" s="23"/>
      <c r="T17" s="23"/>
      <c r="U17" s="23"/>
      <c r="V17" s="88"/>
    </row>
    <row r="18" spans="1:32" s="1" customFormat="1" ht="36.75" customHeight="1">
      <c r="A18" s="20"/>
      <c r="B18" s="21"/>
      <c r="C18" s="21"/>
      <c r="D18" s="21"/>
      <c r="E18" s="21"/>
      <c r="F18" s="21"/>
      <c r="G18" s="21"/>
      <c r="H18" s="21"/>
      <c r="I18" s="21"/>
      <c r="J18" s="21"/>
      <c r="K18" s="21"/>
      <c r="L18" s="21"/>
      <c r="M18" s="21"/>
      <c r="N18" s="54" t="s">
        <v>26</v>
      </c>
      <c r="O18" s="54" t="s">
        <v>27</v>
      </c>
      <c r="P18" s="54" t="s">
        <v>28</v>
      </c>
      <c r="Q18" s="54" t="s">
        <v>28</v>
      </c>
      <c r="R18" s="54" t="s">
        <v>28</v>
      </c>
      <c r="S18" s="54" t="s">
        <v>28</v>
      </c>
      <c r="T18" s="54" t="s">
        <v>28</v>
      </c>
      <c r="U18" s="89"/>
      <c r="V18" s="86"/>
    </row>
    <row r="19" spans="1:32" s="1" customFormat="1" ht="21.75" customHeight="1">
      <c r="A19" s="22" t="s">
        <v>29</v>
      </c>
      <c r="B19" s="253" t="s">
        <v>30</v>
      </c>
      <c r="C19" s="253"/>
      <c r="D19" s="253"/>
      <c r="E19" s="253"/>
      <c r="F19" s="253"/>
      <c r="G19" s="253"/>
      <c r="H19" s="253"/>
      <c r="I19" s="253"/>
      <c r="J19" s="55" t="s">
        <v>31</v>
      </c>
      <c r="K19" s="55" t="s">
        <v>32</v>
      </c>
      <c r="L19" s="55" t="s">
        <v>33</v>
      </c>
      <c r="M19" s="55" t="s">
        <v>34</v>
      </c>
      <c r="N19" s="56" t="s">
        <v>35</v>
      </c>
      <c r="O19" s="57">
        <v>46041</v>
      </c>
      <c r="P19" s="57">
        <v>46042</v>
      </c>
      <c r="Q19" s="57">
        <v>46043</v>
      </c>
      <c r="R19" s="57">
        <v>46044</v>
      </c>
      <c r="S19" s="57">
        <v>46045</v>
      </c>
      <c r="T19" s="56" t="s">
        <v>36</v>
      </c>
      <c r="U19" s="90" t="s">
        <v>37</v>
      </c>
      <c r="V19" s="86"/>
    </row>
    <row r="20" spans="1:32" s="1" customFormat="1" ht="17.25" customHeight="1">
      <c r="A20" s="230" t="s">
        <v>38</v>
      </c>
      <c r="B20" s="231"/>
      <c r="C20" s="231"/>
      <c r="D20" s="231"/>
      <c r="E20" s="231"/>
      <c r="F20" s="231"/>
      <c r="G20" s="231"/>
      <c r="H20" s="231"/>
      <c r="I20" s="231"/>
      <c r="J20" s="231"/>
      <c r="K20" s="231"/>
      <c r="L20" s="231"/>
      <c r="M20" s="231"/>
      <c r="N20" s="232"/>
      <c r="O20" s="232"/>
      <c r="P20" s="232"/>
      <c r="Q20" s="232"/>
      <c r="R20" s="232"/>
      <c r="S20" s="232"/>
      <c r="T20" s="233"/>
      <c r="U20" s="134">
        <v>20</v>
      </c>
      <c r="V20" s="86"/>
      <c r="AC20" s="116" t="s">
        <v>39</v>
      </c>
      <c r="AD20" s="116" t="s">
        <v>40</v>
      </c>
    </row>
    <row r="21" spans="1:32" s="1" customFormat="1" ht="17.25" customHeight="1">
      <c r="A21" s="27">
        <v>1</v>
      </c>
      <c r="B21" s="221" t="s">
        <v>41</v>
      </c>
      <c r="C21" s="221"/>
      <c r="D21" s="221"/>
      <c r="E21" s="221"/>
      <c r="F21" s="221"/>
      <c r="G21" s="221"/>
      <c r="H21" s="221"/>
      <c r="I21" s="221"/>
      <c r="J21" s="62" t="s">
        <v>42</v>
      </c>
      <c r="K21" s="71"/>
      <c r="L21" s="71"/>
      <c r="M21" s="71"/>
      <c r="N21" s="129">
        <v>4</v>
      </c>
      <c r="O21" s="72">
        <v>0</v>
      </c>
      <c r="P21" s="72">
        <v>0</v>
      </c>
      <c r="Q21" s="72">
        <v>0</v>
      </c>
      <c r="R21" s="72">
        <v>0</v>
      </c>
      <c r="S21" s="135">
        <v>1</v>
      </c>
      <c r="T21" s="136">
        <f>AVERAGE(O21:S21)</f>
        <v>0.2</v>
      </c>
      <c r="U21" s="260">
        <f>IF(SUM(N21:N25)&lt;&gt;U20,"Ajustar Ponderacion",IF(SUM(AD21:AD25)=0,"",IF(SUM(AC21:AC25)=U20,IF(SUM(N21:N25)=U20,SUM(AD21:AD25),"Ajustar ponderacion"),"Ajustar ponderacion")))</f>
        <v>16.8</v>
      </c>
      <c r="V21" s="86"/>
      <c r="AC21" s="117">
        <f t="shared" ref="AC21:AC54" si="0">IF(J21="x",N21)</f>
        <v>4</v>
      </c>
      <c r="AD21" s="118">
        <f t="shared" ref="AD21:AD54" si="1">AC21*T21</f>
        <v>0.8</v>
      </c>
      <c r="AF21" s="1">
        <v>0</v>
      </c>
    </row>
    <row r="22" spans="1:32" s="1" customFormat="1" ht="28.75" customHeight="1">
      <c r="A22" s="28">
        <v>2</v>
      </c>
      <c r="B22" s="196" t="s">
        <v>43</v>
      </c>
      <c r="C22" s="196"/>
      <c r="D22" s="196"/>
      <c r="E22" s="196"/>
      <c r="F22" s="196"/>
      <c r="G22" s="196"/>
      <c r="H22" s="196"/>
      <c r="I22" s="196"/>
      <c r="J22" s="62" t="s">
        <v>42</v>
      </c>
      <c r="K22" s="63"/>
      <c r="L22" s="63"/>
      <c r="M22" s="63"/>
      <c r="N22" s="64">
        <v>4</v>
      </c>
      <c r="O22" s="72">
        <v>1</v>
      </c>
      <c r="P22" s="72">
        <v>1</v>
      </c>
      <c r="Q22" s="72">
        <v>1</v>
      </c>
      <c r="R22" s="72">
        <v>1</v>
      </c>
      <c r="S22" s="135">
        <v>1</v>
      </c>
      <c r="T22" s="137">
        <f>AVERAGE(O22:S22)</f>
        <v>1</v>
      </c>
      <c r="U22" s="261"/>
      <c r="V22" s="86"/>
      <c r="AC22" s="117">
        <f t="shared" si="0"/>
        <v>4</v>
      </c>
      <c r="AD22" s="118">
        <f t="shared" si="1"/>
        <v>4</v>
      </c>
      <c r="AF22" s="1">
        <v>100</v>
      </c>
    </row>
    <row r="23" spans="1:32" s="1" customFormat="1" ht="27.75" customHeight="1">
      <c r="A23" s="28">
        <v>3</v>
      </c>
      <c r="B23" s="196" t="s">
        <v>44</v>
      </c>
      <c r="C23" s="196"/>
      <c r="D23" s="196"/>
      <c r="E23" s="196"/>
      <c r="F23" s="196"/>
      <c r="G23" s="196"/>
      <c r="H23" s="196"/>
      <c r="I23" s="196"/>
      <c r="J23" s="62" t="s">
        <v>42</v>
      </c>
      <c r="K23" s="63"/>
      <c r="L23" s="63"/>
      <c r="M23" s="63"/>
      <c r="N23" s="64">
        <v>4</v>
      </c>
      <c r="O23" s="72">
        <v>1</v>
      </c>
      <c r="P23" s="72">
        <v>1</v>
      </c>
      <c r="Q23" s="72">
        <v>1</v>
      </c>
      <c r="R23" s="72">
        <v>1</v>
      </c>
      <c r="S23" s="135">
        <v>1</v>
      </c>
      <c r="T23" s="137">
        <f>AVERAGE(O23:S23)</f>
        <v>1</v>
      </c>
      <c r="U23" s="261"/>
      <c r="V23" s="86"/>
      <c r="AC23" s="117">
        <f t="shared" si="0"/>
        <v>4</v>
      </c>
      <c r="AD23" s="118">
        <f t="shared" si="1"/>
        <v>4</v>
      </c>
    </row>
    <row r="24" spans="1:32" s="1" customFormat="1" ht="30.75" customHeight="1">
      <c r="A24" s="28">
        <v>4</v>
      </c>
      <c r="B24" s="196" t="s">
        <v>45</v>
      </c>
      <c r="C24" s="196"/>
      <c r="D24" s="196"/>
      <c r="E24" s="196"/>
      <c r="F24" s="196"/>
      <c r="G24" s="196"/>
      <c r="H24" s="196"/>
      <c r="I24" s="196"/>
      <c r="J24" s="62" t="s">
        <v>42</v>
      </c>
      <c r="K24" s="62"/>
      <c r="L24" s="63"/>
      <c r="M24" s="63"/>
      <c r="N24" s="64">
        <v>4</v>
      </c>
      <c r="O24" s="72">
        <v>1</v>
      </c>
      <c r="P24" s="72">
        <v>1</v>
      </c>
      <c r="Q24" s="72">
        <v>1</v>
      </c>
      <c r="R24" s="72">
        <v>1</v>
      </c>
      <c r="S24" s="135">
        <v>1</v>
      </c>
      <c r="T24" s="137">
        <f>AVERAGE(O24:S24)</f>
        <v>1</v>
      </c>
      <c r="U24" s="261"/>
      <c r="V24" s="86"/>
      <c r="AC24" s="117">
        <f t="shared" si="0"/>
        <v>4</v>
      </c>
      <c r="AD24" s="118">
        <f t="shared" si="1"/>
        <v>4</v>
      </c>
    </row>
    <row r="25" spans="1:32" s="1" customFormat="1" ht="17.25" customHeight="1">
      <c r="A25" s="128">
        <v>5</v>
      </c>
      <c r="B25" s="197" t="s">
        <v>46</v>
      </c>
      <c r="C25" s="197"/>
      <c r="D25" s="197"/>
      <c r="E25" s="197"/>
      <c r="F25" s="197"/>
      <c r="G25" s="197"/>
      <c r="H25" s="197"/>
      <c r="I25" s="197"/>
      <c r="J25" s="62" t="s">
        <v>42</v>
      </c>
      <c r="K25" s="130"/>
      <c r="L25" s="130"/>
      <c r="M25" s="130"/>
      <c r="N25" s="78">
        <v>4</v>
      </c>
      <c r="O25" s="72">
        <v>1</v>
      </c>
      <c r="P25" s="72">
        <v>1</v>
      </c>
      <c r="Q25" s="72">
        <v>1</v>
      </c>
      <c r="R25" s="72">
        <v>1</v>
      </c>
      <c r="S25" s="135">
        <v>1</v>
      </c>
      <c r="T25" s="100">
        <f>AVERAGE(O25:S25)</f>
        <v>1</v>
      </c>
      <c r="U25" s="262"/>
      <c r="V25" s="86"/>
      <c r="AC25" s="117">
        <f t="shared" si="0"/>
        <v>4</v>
      </c>
      <c r="AD25" s="118">
        <f t="shared" si="1"/>
        <v>4</v>
      </c>
    </row>
    <row r="26" spans="1:32" s="1" customFormat="1" ht="17.25" customHeight="1">
      <c r="A26" s="222" t="s">
        <v>47</v>
      </c>
      <c r="B26" s="223"/>
      <c r="C26" s="223"/>
      <c r="D26" s="223"/>
      <c r="E26" s="223"/>
      <c r="F26" s="223"/>
      <c r="G26" s="223"/>
      <c r="H26" s="223"/>
      <c r="I26" s="223"/>
      <c r="J26" s="223"/>
      <c r="K26" s="223"/>
      <c r="L26" s="223"/>
      <c r="M26" s="223"/>
      <c r="N26" s="223"/>
      <c r="O26" s="223"/>
      <c r="P26" s="223"/>
      <c r="Q26" s="223"/>
      <c r="R26" s="223"/>
      <c r="S26" s="223"/>
      <c r="T26" s="224"/>
      <c r="U26" s="138">
        <v>50</v>
      </c>
      <c r="V26" s="86"/>
      <c r="AC26" s="117" t="b">
        <f t="shared" si="0"/>
        <v>0</v>
      </c>
      <c r="AD26" s="118">
        <f t="shared" si="1"/>
        <v>0</v>
      </c>
    </row>
    <row r="27" spans="1:32" s="1" customFormat="1" ht="17.25" customHeight="1">
      <c r="A27" s="27">
        <v>6</v>
      </c>
      <c r="B27" s="221" t="s">
        <v>48</v>
      </c>
      <c r="C27" s="221"/>
      <c r="D27" s="221"/>
      <c r="E27" s="221"/>
      <c r="F27" s="221"/>
      <c r="G27" s="221"/>
      <c r="H27" s="221"/>
      <c r="I27" s="221"/>
      <c r="J27" s="62" t="s">
        <v>42</v>
      </c>
      <c r="K27" s="70"/>
      <c r="L27" s="70"/>
      <c r="M27" s="70"/>
      <c r="N27" s="71">
        <v>2.5</v>
      </c>
      <c r="O27" s="72">
        <v>1</v>
      </c>
      <c r="P27" s="72">
        <v>1</v>
      </c>
      <c r="Q27" s="72">
        <v>1</v>
      </c>
      <c r="R27" s="72">
        <v>1</v>
      </c>
      <c r="S27" s="135">
        <v>1</v>
      </c>
      <c r="T27" s="139">
        <f t="shared" ref="T27:T46" si="2">AVERAGE(O27:S27)</f>
        <v>1</v>
      </c>
      <c r="U27" s="260">
        <f>IF(SUM(N27:N46)&lt;&gt;U26,"Ajuste ponderacion",IF(SUM(AD27:AD46)=0,"",IF(SUM(AC27:AC46)=U26,IF(SUM(N27:N46)=U26,SUM(AD27:AD46),"ajustar ponderacion"),"ajustar ponderacion")))</f>
        <v>50</v>
      </c>
      <c r="V27" s="86"/>
      <c r="AC27" s="117">
        <f t="shared" si="0"/>
        <v>2.5</v>
      </c>
      <c r="AD27" s="118">
        <f t="shared" si="1"/>
        <v>2.5</v>
      </c>
    </row>
    <row r="28" spans="1:32" s="1" customFormat="1" ht="17.25" customHeight="1">
      <c r="A28" s="28">
        <v>7</v>
      </c>
      <c r="B28" s="196" t="s">
        <v>49</v>
      </c>
      <c r="C28" s="196"/>
      <c r="D28" s="196"/>
      <c r="E28" s="196"/>
      <c r="F28" s="196"/>
      <c r="G28" s="196"/>
      <c r="H28" s="196"/>
      <c r="I28" s="196"/>
      <c r="J28" s="62" t="s">
        <v>42</v>
      </c>
      <c r="K28" s="73"/>
      <c r="L28" s="73"/>
      <c r="M28" s="73"/>
      <c r="N28" s="71">
        <v>2.5</v>
      </c>
      <c r="O28" s="72">
        <v>1</v>
      </c>
      <c r="P28" s="72">
        <v>1</v>
      </c>
      <c r="Q28" s="72">
        <v>1</v>
      </c>
      <c r="R28" s="72">
        <v>1</v>
      </c>
      <c r="S28" s="135">
        <v>1</v>
      </c>
      <c r="T28" s="140">
        <f t="shared" si="2"/>
        <v>1</v>
      </c>
      <c r="U28" s="261"/>
      <c r="V28" s="86"/>
      <c r="AC28" s="117">
        <f t="shared" si="0"/>
        <v>2.5</v>
      </c>
      <c r="AD28" s="118">
        <f t="shared" si="1"/>
        <v>2.5</v>
      </c>
    </row>
    <row r="29" spans="1:32" s="1" customFormat="1" ht="36.75" customHeight="1">
      <c r="A29" s="28">
        <v>8</v>
      </c>
      <c r="B29" s="196" t="s">
        <v>50</v>
      </c>
      <c r="C29" s="196"/>
      <c r="D29" s="196"/>
      <c r="E29" s="196"/>
      <c r="F29" s="196"/>
      <c r="G29" s="196"/>
      <c r="H29" s="196"/>
      <c r="I29" s="196"/>
      <c r="J29" s="62" t="s">
        <v>42</v>
      </c>
      <c r="K29" s="73"/>
      <c r="L29" s="62"/>
      <c r="M29" s="73"/>
      <c r="N29" s="71">
        <v>2.5</v>
      </c>
      <c r="O29" s="72">
        <v>1</v>
      </c>
      <c r="P29" s="72">
        <v>1</v>
      </c>
      <c r="Q29" s="72">
        <v>1</v>
      </c>
      <c r="R29" s="72">
        <v>1</v>
      </c>
      <c r="S29" s="135">
        <v>1</v>
      </c>
      <c r="T29" s="140">
        <f t="shared" si="2"/>
        <v>1</v>
      </c>
      <c r="U29" s="261"/>
      <c r="V29" s="86"/>
      <c r="AC29" s="117">
        <f t="shared" si="0"/>
        <v>2.5</v>
      </c>
      <c r="AD29" s="118">
        <f t="shared" si="1"/>
        <v>2.5</v>
      </c>
    </row>
    <row r="30" spans="1:32" s="1" customFormat="1" ht="28" customHeight="1">
      <c r="A30" s="28">
        <v>9</v>
      </c>
      <c r="B30" s="196" t="s">
        <v>51</v>
      </c>
      <c r="C30" s="196"/>
      <c r="D30" s="196"/>
      <c r="E30" s="196"/>
      <c r="F30" s="196"/>
      <c r="G30" s="196"/>
      <c r="H30" s="196"/>
      <c r="I30" s="196"/>
      <c r="J30" s="62" t="s">
        <v>42</v>
      </c>
      <c r="K30" s="73"/>
      <c r="L30" s="73"/>
      <c r="M30" s="73"/>
      <c r="N30" s="71">
        <v>2.5</v>
      </c>
      <c r="O30" s="72">
        <v>1</v>
      </c>
      <c r="P30" s="72">
        <v>1</v>
      </c>
      <c r="Q30" s="72">
        <v>1</v>
      </c>
      <c r="R30" s="72">
        <v>1</v>
      </c>
      <c r="S30" s="135">
        <v>1</v>
      </c>
      <c r="T30" s="140">
        <f t="shared" si="2"/>
        <v>1</v>
      </c>
      <c r="U30" s="261"/>
      <c r="V30" s="86"/>
      <c r="AC30" s="117">
        <f t="shared" si="0"/>
        <v>2.5</v>
      </c>
      <c r="AD30" s="118">
        <f t="shared" si="1"/>
        <v>2.5</v>
      </c>
    </row>
    <row r="31" spans="1:32" s="1" customFormat="1" ht="17.25" customHeight="1">
      <c r="A31" s="28">
        <v>10</v>
      </c>
      <c r="B31" s="196" t="s">
        <v>52</v>
      </c>
      <c r="C31" s="196"/>
      <c r="D31" s="196"/>
      <c r="E31" s="196"/>
      <c r="F31" s="196"/>
      <c r="G31" s="196"/>
      <c r="H31" s="196"/>
      <c r="I31" s="196"/>
      <c r="J31" s="62" t="s">
        <v>42</v>
      </c>
      <c r="K31" s="73"/>
      <c r="L31" s="62"/>
      <c r="M31" s="73"/>
      <c r="N31" s="71">
        <v>2.5</v>
      </c>
      <c r="O31" s="72">
        <v>1</v>
      </c>
      <c r="P31" s="72">
        <v>1</v>
      </c>
      <c r="Q31" s="72">
        <v>1</v>
      </c>
      <c r="R31" s="72">
        <v>1</v>
      </c>
      <c r="S31" s="135">
        <v>1</v>
      </c>
      <c r="T31" s="140">
        <f t="shared" si="2"/>
        <v>1</v>
      </c>
      <c r="U31" s="261"/>
      <c r="V31" s="86"/>
      <c r="AC31" s="117">
        <f t="shared" si="0"/>
        <v>2.5</v>
      </c>
      <c r="AD31" s="118">
        <f t="shared" si="1"/>
        <v>2.5</v>
      </c>
    </row>
    <row r="32" spans="1:32" s="1" customFormat="1" ht="17.25" customHeight="1">
      <c r="A32" s="28">
        <v>11</v>
      </c>
      <c r="B32" s="196" t="s">
        <v>53</v>
      </c>
      <c r="C32" s="196"/>
      <c r="D32" s="196"/>
      <c r="E32" s="196"/>
      <c r="F32" s="196"/>
      <c r="G32" s="196"/>
      <c r="H32" s="196"/>
      <c r="I32" s="196"/>
      <c r="J32" s="62" t="s">
        <v>42</v>
      </c>
      <c r="K32" s="62"/>
      <c r="L32" s="73"/>
      <c r="M32" s="73"/>
      <c r="N32" s="71">
        <v>2.5</v>
      </c>
      <c r="O32" s="72">
        <v>1</v>
      </c>
      <c r="P32" s="72">
        <v>1</v>
      </c>
      <c r="Q32" s="72">
        <v>1</v>
      </c>
      <c r="R32" s="72">
        <v>1</v>
      </c>
      <c r="S32" s="135">
        <v>1</v>
      </c>
      <c r="T32" s="140">
        <f t="shared" si="2"/>
        <v>1</v>
      </c>
      <c r="U32" s="261"/>
      <c r="V32" s="86"/>
      <c r="AC32" s="117">
        <f t="shared" si="0"/>
        <v>2.5</v>
      </c>
      <c r="AD32" s="118">
        <f t="shared" si="1"/>
        <v>2.5</v>
      </c>
    </row>
    <row r="33" spans="1:30" s="1" customFormat="1" ht="17.25" customHeight="1">
      <c r="A33" s="28">
        <v>12</v>
      </c>
      <c r="B33" s="196" t="s">
        <v>54</v>
      </c>
      <c r="C33" s="196"/>
      <c r="D33" s="196"/>
      <c r="E33" s="196"/>
      <c r="F33" s="196"/>
      <c r="G33" s="196"/>
      <c r="H33" s="196"/>
      <c r="I33" s="196"/>
      <c r="J33" s="62" t="s">
        <v>42</v>
      </c>
      <c r="K33" s="62"/>
      <c r="L33" s="73"/>
      <c r="M33" s="73"/>
      <c r="N33" s="71">
        <v>2.5</v>
      </c>
      <c r="O33" s="72">
        <v>1</v>
      </c>
      <c r="P33" s="72">
        <v>1</v>
      </c>
      <c r="Q33" s="72">
        <v>1</v>
      </c>
      <c r="R33" s="72">
        <v>1</v>
      </c>
      <c r="S33" s="135">
        <v>1</v>
      </c>
      <c r="T33" s="140">
        <f t="shared" si="2"/>
        <v>1</v>
      </c>
      <c r="U33" s="261"/>
      <c r="V33" s="86"/>
      <c r="AC33" s="117">
        <f t="shared" si="0"/>
        <v>2.5</v>
      </c>
      <c r="AD33" s="118">
        <f t="shared" si="1"/>
        <v>2.5</v>
      </c>
    </row>
    <row r="34" spans="1:30" s="1" customFormat="1" ht="17.25" customHeight="1">
      <c r="A34" s="28">
        <v>13</v>
      </c>
      <c r="B34" s="196" t="s">
        <v>55</v>
      </c>
      <c r="C34" s="196"/>
      <c r="D34" s="196"/>
      <c r="E34" s="196"/>
      <c r="F34" s="196"/>
      <c r="G34" s="196"/>
      <c r="H34" s="196"/>
      <c r="I34" s="196"/>
      <c r="J34" s="62" t="s">
        <v>42</v>
      </c>
      <c r="K34" s="62"/>
      <c r="L34" s="73"/>
      <c r="M34" s="73"/>
      <c r="N34" s="71">
        <v>2.5</v>
      </c>
      <c r="O34" s="72">
        <v>1</v>
      </c>
      <c r="P34" s="72">
        <v>1</v>
      </c>
      <c r="Q34" s="72">
        <v>1</v>
      </c>
      <c r="R34" s="72">
        <v>1</v>
      </c>
      <c r="S34" s="135">
        <v>1</v>
      </c>
      <c r="T34" s="140">
        <f t="shared" si="2"/>
        <v>1</v>
      </c>
      <c r="U34" s="261"/>
      <c r="V34" s="86"/>
      <c r="AC34" s="117">
        <f t="shared" si="0"/>
        <v>2.5</v>
      </c>
      <c r="AD34" s="118">
        <f t="shared" si="1"/>
        <v>2.5</v>
      </c>
    </row>
    <row r="35" spans="1:30" s="1" customFormat="1" ht="17.25" customHeight="1">
      <c r="A35" s="28">
        <v>14</v>
      </c>
      <c r="B35" s="196" t="s">
        <v>56</v>
      </c>
      <c r="C35" s="196"/>
      <c r="D35" s="196"/>
      <c r="E35" s="196"/>
      <c r="F35" s="196"/>
      <c r="G35" s="196"/>
      <c r="H35" s="196"/>
      <c r="I35" s="196"/>
      <c r="J35" s="62" t="s">
        <v>42</v>
      </c>
      <c r="K35" s="73"/>
      <c r="L35" s="73"/>
      <c r="M35" s="73"/>
      <c r="N35" s="71">
        <v>2.5</v>
      </c>
      <c r="O35" s="72">
        <v>1</v>
      </c>
      <c r="P35" s="72">
        <v>1</v>
      </c>
      <c r="Q35" s="72">
        <v>1</v>
      </c>
      <c r="R35" s="72">
        <v>1</v>
      </c>
      <c r="S35" s="135">
        <v>1</v>
      </c>
      <c r="T35" s="140">
        <f t="shared" si="2"/>
        <v>1</v>
      </c>
      <c r="U35" s="261"/>
      <c r="V35" s="86"/>
      <c r="AC35" s="117">
        <f t="shared" si="0"/>
        <v>2.5</v>
      </c>
      <c r="AD35" s="118">
        <f t="shared" si="1"/>
        <v>2.5</v>
      </c>
    </row>
    <row r="36" spans="1:30" s="1" customFormat="1" ht="17.25" customHeight="1">
      <c r="A36" s="28">
        <v>15</v>
      </c>
      <c r="B36" s="196" t="s">
        <v>57</v>
      </c>
      <c r="C36" s="196"/>
      <c r="D36" s="196"/>
      <c r="E36" s="196"/>
      <c r="F36" s="196"/>
      <c r="G36" s="196"/>
      <c r="H36" s="196"/>
      <c r="I36" s="196"/>
      <c r="J36" s="62" t="s">
        <v>42</v>
      </c>
      <c r="K36" s="73"/>
      <c r="L36" s="73"/>
      <c r="M36" s="73"/>
      <c r="N36" s="71">
        <v>2.5</v>
      </c>
      <c r="O36" s="72">
        <v>1</v>
      </c>
      <c r="P36" s="72">
        <v>1</v>
      </c>
      <c r="Q36" s="72">
        <v>1</v>
      </c>
      <c r="R36" s="72">
        <v>1</v>
      </c>
      <c r="S36" s="135">
        <v>1</v>
      </c>
      <c r="T36" s="140">
        <f t="shared" si="2"/>
        <v>1</v>
      </c>
      <c r="U36" s="261"/>
      <c r="V36" s="86"/>
      <c r="AC36" s="117">
        <f t="shared" si="0"/>
        <v>2.5</v>
      </c>
      <c r="AD36" s="118">
        <f t="shared" si="1"/>
        <v>2.5</v>
      </c>
    </row>
    <row r="37" spans="1:30" ht="17.25" customHeight="1">
      <c r="A37" s="29">
        <v>16</v>
      </c>
      <c r="B37" s="196" t="s">
        <v>58</v>
      </c>
      <c r="C37" s="196"/>
      <c r="D37" s="196"/>
      <c r="E37" s="196"/>
      <c r="F37" s="196"/>
      <c r="G37" s="196"/>
      <c r="H37" s="196"/>
      <c r="I37" s="196"/>
      <c r="J37" s="62" t="s">
        <v>42</v>
      </c>
      <c r="K37" s="74"/>
      <c r="L37" s="75"/>
      <c r="M37" s="76"/>
      <c r="N37" s="71">
        <v>2.5</v>
      </c>
      <c r="O37" s="72">
        <v>1</v>
      </c>
      <c r="P37" s="72">
        <v>1</v>
      </c>
      <c r="Q37" s="72">
        <v>1</v>
      </c>
      <c r="R37" s="72">
        <v>1</v>
      </c>
      <c r="S37" s="135">
        <v>1</v>
      </c>
      <c r="T37" s="140">
        <f t="shared" si="2"/>
        <v>1</v>
      </c>
      <c r="U37" s="261"/>
      <c r="V37" s="105"/>
      <c r="AC37" s="117">
        <f t="shared" si="0"/>
        <v>2.5</v>
      </c>
      <c r="AD37" s="118">
        <f t="shared" si="1"/>
        <v>2.5</v>
      </c>
    </row>
    <row r="38" spans="1:30" ht="17.25" customHeight="1">
      <c r="A38" s="29">
        <v>17</v>
      </c>
      <c r="B38" s="195" t="s">
        <v>59</v>
      </c>
      <c r="C38" s="195"/>
      <c r="D38" s="195"/>
      <c r="E38" s="195"/>
      <c r="F38" s="195"/>
      <c r="G38" s="195"/>
      <c r="H38" s="195"/>
      <c r="I38" s="195"/>
      <c r="J38" s="62" t="s">
        <v>42</v>
      </c>
      <c r="K38" s="75"/>
      <c r="L38" s="75"/>
      <c r="M38" s="76"/>
      <c r="N38" s="71">
        <v>2.5</v>
      </c>
      <c r="O38" s="72">
        <v>1</v>
      </c>
      <c r="P38" s="72">
        <v>1</v>
      </c>
      <c r="Q38" s="72">
        <v>1</v>
      </c>
      <c r="R38" s="72">
        <v>1</v>
      </c>
      <c r="S38" s="135">
        <v>1</v>
      </c>
      <c r="T38" s="140">
        <f t="shared" si="2"/>
        <v>1</v>
      </c>
      <c r="U38" s="261"/>
      <c r="V38" s="105"/>
      <c r="AC38" s="117">
        <f t="shared" si="0"/>
        <v>2.5</v>
      </c>
      <c r="AD38" s="118">
        <f t="shared" si="1"/>
        <v>2.5</v>
      </c>
    </row>
    <row r="39" spans="1:30" ht="17.25" customHeight="1">
      <c r="A39" s="29">
        <v>18</v>
      </c>
      <c r="B39" s="195" t="s">
        <v>60</v>
      </c>
      <c r="C39" s="195"/>
      <c r="D39" s="195"/>
      <c r="E39" s="195"/>
      <c r="F39" s="195"/>
      <c r="G39" s="195"/>
      <c r="H39" s="195"/>
      <c r="I39" s="195"/>
      <c r="J39" s="62" t="s">
        <v>42</v>
      </c>
      <c r="K39" s="75"/>
      <c r="L39" s="62"/>
      <c r="M39" s="75"/>
      <c r="N39" s="71">
        <v>2.5</v>
      </c>
      <c r="O39" s="72">
        <v>1</v>
      </c>
      <c r="P39" s="72">
        <v>1</v>
      </c>
      <c r="Q39" s="72">
        <v>1</v>
      </c>
      <c r="R39" s="72">
        <v>1</v>
      </c>
      <c r="S39" s="135">
        <v>1</v>
      </c>
      <c r="T39" s="140">
        <f t="shared" si="2"/>
        <v>1</v>
      </c>
      <c r="U39" s="261"/>
      <c r="V39" s="105"/>
      <c r="AC39" s="117">
        <f t="shared" si="0"/>
        <v>2.5</v>
      </c>
      <c r="AD39" s="118">
        <f t="shared" si="1"/>
        <v>2.5</v>
      </c>
    </row>
    <row r="40" spans="1:30" ht="17.25" customHeight="1">
      <c r="A40" s="29">
        <v>19</v>
      </c>
      <c r="B40" s="195" t="s">
        <v>61</v>
      </c>
      <c r="C40" s="195"/>
      <c r="D40" s="195"/>
      <c r="E40" s="195"/>
      <c r="F40" s="195"/>
      <c r="G40" s="195"/>
      <c r="H40" s="195"/>
      <c r="I40" s="195"/>
      <c r="J40" s="62" t="s">
        <v>42</v>
      </c>
      <c r="K40" s="75"/>
      <c r="L40" s="75"/>
      <c r="M40" s="75"/>
      <c r="N40" s="71">
        <v>2.5</v>
      </c>
      <c r="O40" s="72">
        <v>1</v>
      </c>
      <c r="P40" s="72">
        <v>1</v>
      </c>
      <c r="Q40" s="72">
        <v>1</v>
      </c>
      <c r="R40" s="72">
        <v>1</v>
      </c>
      <c r="S40" s="135">
        <v>1</v>
      </c>
      <c r="T40" s="140">
        <f t="shared" si="2"/>
        <v>1</v>
      </c>
      <c r="U40" s="261"/>
      <c r="V40" s="105"/>
      <c r="AC40" s="117">
        <f t="shared" si="0"/>
        <v>2.5</v>
      </c>
      <c r="AD40" s="118">
        <f t="shared" si="1"/>
        <v>2.5</v>
      </c>
    </row>
    <row r="41" spans="1:30" ht="17.25" customHeight="1">
      <c r="A41" s="29">
        <v>20</v>
      </c>
      <c r="B41" s="195" t="s">
        <v>62</v>
      </c>
      <c r="C41" s="195"/>
      <c r="D41" s="195"/>
      <c r="E41" s="195"/>
      <c r="F41" s="195"/>
      <c r="G41" s="195"/>
      <c r="H41" s="195"/>
      <c r="I41" s="195"/>
      <c r="J41" s="62" t="s">
        <v>42</v>
      </c>
      <c r="K41" s="75"/>
      <c r="L41" s="75"/>
      <c r="M41" s="75"/>
      <c r="N41" s="71">
        <v>2.5</v>
      </c>
      <c r="O41" s="72">
        <v>1</v>
      </c>
      <c r="P41" s="72">
        <v>1</v>
      </c>
      <c r="Q41" s="72">
        <v>1</v>
      </c>
      <c r="R41" s="72">
        <v>1</v>
      </c>
      <c r="S41" s="135">
        <v>1</v>
      </c>
      <c r="T41" s="140">
        <f t="shared" si="2"/>
        <v>1</v>
      </c>
      <c r="U41" s="261"/>
      <c r="V41" s="105"/>
      <c r="AC41" s="117">
        <f t="shared" si="0"/>
        <v>2.5</v>
      </c>
      <c r="AD41" s="118">
        <f t="shared" si="1"/>
        <v>2.5</v>
      </c>
    </row>
    <row r="42" spans="1:30" ht="17.25" customHeight="1">
      <c r="A42" s="29">
        <v>21</v>
      </c>
      <c r="B42" s="195" t="s">
        <v>63</v>
      </c>
      <c r="C42" s="195"/>
      <c r="D42" s="195"/>
      <c r="E42" s="195"/>
      <c r="F42" s="195"/>
      <c r="G42" s="195"/>
      <c r="H42" s="195"/>
      <c r="I42" s="195"/>
      <c r="J42" s="62" t="s">
        <v>42</v>
      </c>
      <c r="K42" s="62"/>
      <c r="L42" s="75"/>
      <c r="M42" s="75"/>
      <c r="N42" s="71">
        <v>2.5</v>
      </c>
      <c r="O42" s="72">
        <v>1</v>
      </c>
      <c r="P42" s="72">
        <v>1</v>
      </c>
      <c r="Q42" s="72">
        <v>1</v>
      </c>
      <c r="R42" s="72">
        <v>1</v>
      </c>
      <c r="S42" s="135">
        <v>1</v>
      </c>
      <c r="T42" s="140">
        <f t="shared" si="2"/>
        <v>1</v>
      </c>
      <c r="U42" s="261"/>
      <c r="V42" s="105"/>
      <c r="AC42" s="117">
        <f t="shared" si="0"/>
        <v>2.5</v>
      </c>
      <c r="AD42" s="118">
        <f t="shared" si="1"/>
        <v>2.5</v>
      </c>
    </row>
    <row r="43" spans="1:30" ht="17.25" customHeight="1">
      <c r="A43" s="29">
        <v>22</v>
      </c>
      <c r="B43" s="195" t="s">
        <v>64</v>
      </c>
      <c r="C43" s="195"/>
      <c r="D43" s="195"/>
      <c r="E43" s="195"/>
      <c r="F43" s="195"/>
      <c r="G43" s="195"/>
      <c r="H43" s="195"/>
      <c r="I43" s="195"/>
      <c r="J43" s="62" t="s">
        <v>42</v>
      </c>
      <c r="K43" s="75"/>
      <c r="L43" s="74"/>
      <c r="M43" s="75"/>
      <c r="N43" s="71">
        <v>2.5</v>
      </c>
      <c r="O43" s="72">
        <v>1</v>
      </c>
      <c r="P43" s="72">
        <v>1</v>
      </c>
      <c r="Q43" s="72">
        <v>1</v>
      </c>
      <c r="R43" s="72">
        <v>1</v>
      </c>
      <c r="S43" s="135">
        <v>1</v>
      </c>
      <c r="T43" s="140">
        <f t="shared" si="2"/>
        <v>1</v>
      </c>
      <c r="U43" s="261"/>
      <c r="V43" s="105"/>
      <c r="AC43" s="117">
        <f t="shared" si="0"/>
        <v>2.5</v>
      </c>
      <c r="AD43" s="118">
        <f t="shared" si="1"/>
        <v>2.5</v>
      </c>
    </row>
    <row r="44" spans="1:30" ht="17.25" customHeight="1">
      <c r="A44" s="29">
        <v>23</v>
      </c>
      <c r="B44" s="195" t="s">
        <v>65</v>
      </c>
      <c r="C44" s="195"/>
      <c r="D44" s="195"/>
      <c r="E44" s="195"/>
      <c r="F44" s="195"/>
      <c r="G44" s="195"/>
      <c r="H44" s="195"/>
      <c r="I44" s="195"/>
      <c r="J44" s="62" t="s">
        <v>42</v>
      </c>
      <c r="K44" s="75"/>
      <c r="L44" s="75"/>
      <c r="M44" s="75"/>
      <c r="N44" s="71">
        <v>2.5</v>
      </c>
      <c r="O44" s="72">
        <v>1</v>
      </c>
      <c r="P44" s="72">
        <v>1</v>
      </c>
      <c r="Q44" s="72">
        <v>1</v>
      </c>
      <c r="R44" s="72">
        <v>1</v>
      </c>
      <c r="S44" s="135">
        <v>1</v>
      </c>
      <c r="T44" s="140">
        <f t="shared" si="2"/>
        <v>1</v>
      </c>
      <c r="U44" s="261"/>
      <c r="V44" s="105"/>
      <c r="AC44" s="117">
        <f t="shared" si="0"/>
        <v>2.5</v>
      </c>
      <c r="AD44" s="118">
        <f t="shared" si="1"/>
        <v>2.5</v>
      </c>
    </row>
    <row r="45" spans="1:30" ht="31" customHeight="1">
      <c r="A45" s="29">
        <v>24</v>
      </c>
      <c r="B45" s="196" t="s">
        <v>66</v>
      </c>
      <c r="C45" s="196"/>
      <c r="D45" s="196"/>
      <c r="E45" s="196"/>
      <c r="F45" s="196"/>
      <c r="G45" s="196"/>
      <c r="H45" s="196"/>
      <c r="I45" s="196"/>
      <c r="J45" s="75" t="s">
        <v>42</v>
      </c>
      <c r="K45" s="62"/>
      <c r="L45" s="75"/>
      <c r="M45" s="75"/>
      <c r="N45" s="71">
        <v>2.5</v>
      </c>
      <c r="O45" s="72">
        <v>1</v>
      </c>
      <c r="P45" s="72">
        <v>1</v>
      </c>
      <c r="Q45" s="72">
        <v>1</v>
      </c>
      <c r="R45" s="72">
        <v>1</v>
      </c>
      <c r="S45" s="135">
        <v>1</v>
      </c>
      <c r="T45" s="140">
        <f t="shared" si="2"/>
        <v>1</v>
      </c>
      <c r="U45" s="261"/>
      <c r="V45" s="105"/>
      <c r="AC45" s="117">
        <f t="shared" si="0"/>
        <v>2.5</v>
      </c>
      <c r="AD45" s="118">
        <f t="shared" si="1"/>
        <v>2.5</v>
      </c>
    </row>
    <row r="46" spans="1:30" ht="24.75" customHeight="1">
      <c r="A46" s="30">
        <v>25</v>
      </c>
      <c r="B46" s="197" t="s">
        <v>67</v>
      </c>
      <c r="C46" s="197"/>
      <c r="D46" s="197"/>
      <c r="E46" s="197"/>
      <c r="F46" s="197"/>
      <c r="G46" s="197"/>
      <c r="H46" s="197"/>
      <c r="I46" s="197"/>
      <c r="J46" s="62" t="s">
        <v>42</v>
      </c>
      <c r="K46" s="77"/>
      <c r="L46" s="77"/>
      <c r="M46" s="77"/>
      <c r="N46" s="71">
        <v>2.5</v>
      </c>
      <c r="O46" s="72">
        <v>1</v>
      </c>
      <c r="P46" s="72">
        <v>1</v>
      </c>
      <c r="Q46" s="72">
        <v>1</v>
      </c>
      <c r="R46" s="72">
        <v>1</v>
      </c>
      <c r="S46" s="135">
        <v>1</v>
      </c>
      <c r="T46" s="141">
        <f t="shared" si="2"/>
        <v>1</v>
      </c>
      <c r="U46" s="263"/>
      <c r="V46" s="105"/>
      <c r="AC46" s="117">
        <f t="shared" si="0"/>
        <v>2.5</v>
      </c>
      <c r="AD46" s="118">
        <f t="shared" si="1"/>
        <v>2.5</v>
      </c>
    </row>
    <row r="47" spans="1:30" ht="24.75" customHeight="1">
      <c r="A47" s="219" t="s">
        <v>68</v>
      </c>
      <c r="B47" s="220"/>
      <c r="C47" s="220"/>
      <c r="D47" s="220"/>
      <c r="E47" s="220"/>
      <c r="F47" s="220"/>
      <c r="G47" s="220"/>
      <c r="H47" s="220"/>
      <c r="I47" s="220"/>
      <c r="J47" s="220"/>
      <c r="K47" s="220"/>
      <c r="L47" s="220"/>
      <c r="M47" s="220"/>
      <c r="N47" s="220"/>
      <c r="O47" s="220"/>
      <c r="P47" s="220"/>
      <c r="Q47" s="220"/>
      <c r="R47" s="220"/>
      <c r="S47" s="220"/>
      <c r="T47" s="220"/>
      <c r="U47" s="102">
        <v>20</v>
      </c>
      <c r="V47" s="105"/>
      <c r="AC47" s="117" t="b">
        <f t="shared" si="0"/>
        <v>0</v>
      </c>
      <c r="AD47" s="118">
        <f t="shared" si="1"/>
        <v>0</v>
      </c>
    </row>
    <row r="48" spans="1:30" ht="51" customHeight="1">
      <c r="A48" s="31">
        <v>26</v>
      </c>
      <c r="B48" s="221" t="s">
        <v>69</v>
      </c>
      <c r="C48" s="221"/>
      <c r="D48" s="221"/>
      <c r="E48" s="221"/>
      <c r="F48" s="221"/>
      <c r="G48" s="221"/>
      <c r="H48" s="221"/>
      <c r="I48" s="221"/>
      <c r="J48" s="62" t="s">
        <v>42</v>
      </c>
      <c r="K48" s="62"/>
      <c r="L48" s="62"/>
      <c r="M48" s="62"/>
      <c r="N48" s="78">
        <v>4</v>
      </c>
      <c r="O48" s="72">
        <v>1</v>
      </c>
      <c r="P48" s="72">
        <v>1</v>
      </c>
      <c r="Q48" s="72">
        <v>1</v>
      </c>
      <c r="R48" s="72">
        <v>1</v>
      </c>
      <c r="S48" s="135">
        <v>1</v>
      </c>
      <c r="T48" s="139">
        <f>AVERAGE(O48:S48)</f>
        <v>1</v>
      </c>
      <c r="U48" s="264">
        <f>IF(SUM(N48:N52)&lt;&gt;U47,"AJUSTAR PONDERACION",IF(SUM(AD48:AD52)=0,"",IF(SUM(AC48:AC52)=U47,IF(SUM(N48:N52)=U47,SUM(AD48:AD52),"Ajustar ponderacion"),"Ajustar ponderacion")))</f>
        <v>20</v>
      </c>
      <c r="V48" s="105"/>
      <c r="AC48" s="117">
        <f t="shared" si="0"/>
        <v>4</v>
      </c>
      <c r="AD48" s="118">
        <f t="shared" si="1"/>
        <v>4</v>
      </c>
    </row>
    <row r="49" spans="1:30" ht="46" customHeight="1">
      <c r="A49" s="29">
        <v>27</v>
      </c>
      <c r="B49" s="196" t="s">
        <v>70</v>
      </c>
      <c r="C49" s="196"/>
      <c r="D49" s="196"/>
      <c r="E49" s="196"/>
      <c r="F49" s="196"/>
      <c r="G49" s="196"/>
      <c r="H49" s="196"/>
      <c r="I49" s="196"/>
      <c r="J49" s="75" t="s">
        <v>42</v>
      </c>
      <c r="K49" s="75"/>
      <c r="L49" s="75"/>
      <c r="M49" s="75"/>
      <c r="N49" s="78">
        <v>4</v>
      </c>
      <c r="O49" s="72">
        <v>1</v>
      </c>
      <c r="P49" s="72">
        <v>1</v>
      </c>
      <c r="Q49" s="72">
        <v>1</v>
      </c>
      <c r="R49" s="72">
        <v>1</v>
      </c>
      <c r="S49" s="135">
        <v>1</v>
      </c>
      <c r="T49" s="140">
        <f>AVERAGE(O49:S49)</f>
        <v>1</v>
      </c>
      <c r="U49" s="265"/>
      <c r="V49" s="105"/>
      <c r="AC49" s="117">
        <f t="shared" si="0"/>
        <v>4</v>
      </c>
      <c r="AD49" s="118">
        <f t="shared" si="1"/>
        <v>4</v>
      </c>
    </row>
    <row r="50" spans="1:30" ht="34" customHeight="1">
      <c r="A50" s="29">
        <v>28</v>
      </c>
      <c r="B50" s="196" t="s">
        <v>71</v>
      </c>
      <c r="C50" s="196"/>
      <c r="D50" s="196"/>
      <c r="E50" s="196"/>
      <c r="F50" s="196"/>
      <c r="G50" s="196"/>
      <c r="H50" s="196"/>
      <c r="I50" s="196"/>
      <c r="J50" s="75" t="s">
        <v>42</v>
      </c>
      <c r="K50" s="75"/>
      <c r="L50" s="75"/>
      <c r="M50" s="75"/>
      <c r="N50" s="78">
        <v>4</v>
      </c>
      <c r="O50" s="72">
        <v>1</v>
      </c>
      <c r="P50" s="72">
        <v>1</v>
      </c>
      <c r="Q50" s="72">
        <v>1</v>
      </c>
      <c r="R50" s="72">
        <v>1</v>
      </c>
      <c r="S50" s="135">
        <v>1</v>
      </c>
      <c r="T50" s="140">
        <f>AVERAGE(O50:S50)</f>
        <v>1</v>
      </c>
      <c r="U50" s="265"/>
      <c r="V50" s="105"/>
      <c r="AC50" s="117">
        <f t="shared" si="0"/>
        <v>4</v>
      </c>
      <c r="AD50" s="118">
        <f t="shared" si="1"/>
        <v>4</v>
      </c>
    </row>
    <row r="51" spans="1:30" ht="24.75" customHeight="1">
      <c r="A51" s="29">
        <v>29</v>
      </c>
      <c r="B51" s="196" t="s">
        <v>72</v>
      </c>
      <c r="C51" s="196"/>
      <c r="D51" s="196"/>
      <c r="E51" s="196"/>
      <c r="F51" s="196"/>
      <c r="G51" s="196"/>
      <c r="H51" s="196"/>
      <c r="I51" s="196"/>
      <c r="J51" s="75" t="s">
        <v>42</v>
      </c>
      <c r="K51" s="75"/>
      <c r="L51" s="75"/>
      <c r="M51" s="75"/>
      <c r="N51" s="78">
        <v>4</v>
      </c>
      <c r="O51" s="72">
        <v>1</v>
      </c>
      <c r="P51" s="72">
        <v>1</v>
      </c>
      <c r="Q51" s="72">
        <v>1</v>
      </c>
      <c r="R51" s="72">
        <v>1</v>
      </c>
      <c r="S51" s="135">
        <v>1</v>
      </c>
      <c r="T51" s="140">
        <f>AVERAGE(O51:S51)</f>
        <v>1</v>
      </c>
      <c r="U51" s="265"/>
      <c r="V51" s="105"/>
      <c r="AC51" s="117">
        <f t="shared" si="0"/>
        <v>4</v>
      </c>
      <c r="AD51" s="118">
        <f t="shared" si="1"/>
        <v>4</v>
      </c>
    </row>
    <row r="52" spans="1:30" ht="24.75" customHeight="1">
      <c r="A52" s="30">
        <v>27</v>
      </c>
      <c r="B52" s="197" t="s">
        <v>73</v>
      </c>
      <c r="C52" s="197"/>
      <c r="D52" s="197"/>
      <c r="E52" s="197"/>
      <c r="F52" s="197"/>
      <c r="G52" s="197"/>
      <c r="H52" s="197"/>
      <c r="I52" s="197"/>
      <c r="J52" s="77" t="s">
        <v>42</v>
      </c>
      <c r="K52" s="77"/>
      <c r="L52" s="77"/>
      <c r="M52" s="77"/>
      <c r="N52" s="78">
        <v>4</v>
      </c>
      <c r="O52" s="72">
        <v>1</v>
      </c>
      <c r="P52" s="72">
        <v>1</v>
      </c>
      <c r="Q52" s="72">
        <v>1</v>
      </c>
      <c r="R52" s="72">
        <v>1</v>
      </c>
      <c r="S52" s="135">
        <v>1</v>
      </c>
      <c r="T52" s="141">
        <f>AVERAGE(O52:S52)</f>
        <v>1</v>
      </c>
      <c r="U52" s="265"/>
      <c r="V52" s="105"/>
      <c r="AC52" s="117">
        <f t="shared" si="0"/>
        <v>4</v>
      </c>
      <c r="AD52" s="118">
        <f t="shared" si="1"/>
        <v>4</v>
      </c>
    </row>
    <row r="53" spans="1:30" ht="24.75" customHeight="1">
      <c r="A53" s="211" t="s">
        <v>74</v>
      </c>
      <c r="B53" s="212"/>
      <c r="C53" s="212"/>
      <c r="D53" s="212"/>
      <c r="E53" s="212"/>
      <c r="F53" s="212"/>
      <c r="G53" s="212"/>
      <c r="H53" s="212"/>
      <c r="I53" s="212"/>
      <c r="J53" s="212"/>
      <c r="K53" s="212"/>
      <c r="L53" s="212"/>
      <c r="M53" s="212"/>
      <c r="N53" s="212"/>
      <c r="O53" s="212"/>
      <c r="P53" s="212"/>
      <c r="Q53" s="212"/>
      <c r="R53" s="212"/>
      <c r="S53" s="212"/>
      <c r="T53" s="212"/>
      <c r="U53" s="111">
        <v>10</v>
      </c>
      <c r="V53" s="105"/>
      <c r="AC53" s="117" t="b">
        <f t="shared" si="0"/>
        <v>0</v>
      </c>
      <c r="AD53" s="118">
        <f t="shared" si="1"/>
        <v>0</v>
      </c>
    </row>
    <row r="54" spans="1:30" ht="24.75" customHeight="1">
      <c r="A54" s="33">
        <v>28</v>
      </c>
      <c r="B54" s="213" t="s">
        <v>75</v>
      </c>
      <c r="C54" s="213"/>
      <c r="D54" s="213"/>
      <c r="E54" s="213"/>
      <c r="F54" s="213"/>
      <c r="G54" s="213"/>
      <c r="H54" s="213"/>
      <c r="I54" s="213"/>
      <c r="J54" s="79" t="s">
        <v>42</v>
      </c>
      <c r="K54" s="79"/>
      <c r="L54" s="79"/>
      <c r="M54" s="79"/>
      <c r="N54" s="80">
        <v>10</v>
      </c>
      <c r="O54" s="81">
        <v>1</v>
      </c>
      <c r="P54" s="81">
        <v>1</v>
      </c>
      <c r="Q54" s="81">
        <v>1</v>
      </c>
      <c r="R54" s="81">
        <v>1</v>
      </c>
      <c r="S54" s="142">
        <v>1</v>
      </c>
      <c r="T54" s="143">
        <f>AVERAGE(O54:S54)</f>
        <v>1</v>
      </c>
      <c r="U54" s="145">
        <f>IF(SUM(N54)&lt;&gt;U53,"ajustar ponderacion",IF(SUM(AD54)=0,"",IF(SUM(AC54)=U53,IF(SUM(N54)=U53,SUM(U53),"ajustar ponderacion"),"ajustar ponderacion")))</f>
        <v>10</v>
      </c>
      <c r="V54" s="105"/>
      <c r="AC54" s="117">
        <f t="shared" si="0"/>
        <v>10</v>
      </c>
      <c r="AD54" s="119">
        <f t="shared" si="1"/>
        <v>10</v>
      </c>
    </row>
    <row r="55" spans="1:30" ht="17.25" customHeight="1">
      <c r="A55" s="214" t="s">
        <v>76</v>
      </c>
      <c r="B55" s="215"/>
      <c r="C55" s="215"/>
      <c r="D55" s="266"/>
      <c r="E55" s="266"/>
      <c r="F55" s="266"/>
      <c r="G55" s="266"/>
      <c r="H55" s="266"/>
      <c r="I55" s="266"/>
      <c r="J55" s="266"/>
      <c r="K55" s="266"/>
      <c r="L55" s="266"/>
      <c r="M55" s="266"/>
      <c r="N55" s="266"/>
      <c r="O55" s="266"/>
      <c r="P55" s="266"/>
      <c r="Q55" s="266"/>
      <c r="R55" s="266"/>
      <c r="S55" s="266"/>
      <c r="T55" s="267"/>
      <c r="U55" s="144">
        <f>IFERROR(U21+U27+U48+U54,"revise el formulario")</f>
        <v>96.8</v>
      </c>
      <c r="V55" s="105"/>
      <c r="AC55" s="117"/>
      <c r="AD55" s="118"/>
    </row>
    <row r="56" spans="1:30" ht="17.25" customHeight="1">
      <c r="A56" s="199">
        <v>29</v>
      </c>
      <c r="B56" s="249" t="s">
        <v>77</v>
      </c>
      <c r="C56" s="250"/>
      <c r="D56" s="254"/>
      <c r="E56" s="255"/>
      <c r="F56" s="255"/>
      <c r="G56" s="255"/>
      <c r="H56" s="255"/>
      <c r="I56" s="255"/>
      <c r="J56" s="255"/>
      <c r="K56" s="255"/>
      <c r="L56" s="255"/>
      <c r="M56" s="255"/>
      <c r="N56" s="255"/>
      <c r="O56" s="255"/>
      <c r="P56" s="255"/>
      <c r="Q56" s="255"/>
      <c r="R56" s="255"/>
      <c r="S56" s="255"/>
      <c r="T56" s="255"/>
      <c r="U56" s="256"/>
      <c r="V56" s="105"/>
      <c r="AC56" s="120"/>
      <c r="AD56" s="118"/>
    </row>
    <row r="57" spans="1:30" s="2" customFormat="1" ht="58" customHeight="1">
      <c r="A57" s="200"/>
      <c r="B57" s="251"/>
      <c r="C57" s="252"/>
      <c r="D57" s="257"/>
      <c r="E57" s="258"/>
      <c r="F57" s="258"/>
      <c r="G57" s="258"/>
      <c r="H57" s="258"/>
      <c r="I57" s="258"/>
      <c r="J57" s="258"/>
      <c r="K57" s="258"/>
      <c r="L57" s="258"/>
      <c r="M57" s="258"/>
      <c r="N57" s="258"/>
      <c r="O57" s="258"/>
      <c r="P57" s="258"/>
      <c r="Q57" s="258"/>
      <c r="R57" s="258"/>
      <c r="S57" s="258"/>
      <c r="T57" s="258"/>
      <c r="U57" s="259"/>
      <c r="V57" s="115"/>
      <c r="AC57" s="116"/>
      <c r="AD57" s="118"/>
    </row>
    <row r="58" spans="1:30" s="2" customFormat="1">
      <c r="A58" s="34" t="s">
        <v>79</v>
      </c>
      <c r="B58" s="35"/>
      <c r="C58" s="35"/>
      <c r="D58" s="35"/>
      <c r="E58" s="35"/>
      <c r="F58" s="35"/>
      <c r="G58" s="35"/>
      <c r="H58" s="35"/>
      <c r="I58" s="35"/>
      <c r="J58" s="35"/>
      <c r="K58" s="35"/>
      <c r="L58" s="35"/>
      <c r="M58" s="35"/>
      <c r="N58" s="82"/>
      <c r="O58" s="82"/>
      <c r="P58" s="82"/>
      <c r="Q58" s="82"/>
      <c r="R58" s="82"/>
      <c r="S58" s="82"/>
      <c r="T58" s="82"/>
      <c r="U58" s="115"/>
      <c r="V58" s="115"/>
      <c r="AC58" s="116"/>
      <c r="AD58" s="118"/>
    </row>
    <row r="59" spans="1:30">
      <c r="A59" s="36"/>
      <c r="B59" s="37"/>
      <c r="C59" s="37"/>
      <c r="D59" s="37"/>
      <c r="E59" s="37"/>
      <c r="F59" s="37"/>
      <c r="G59" s="37"/>
      <c r="H59" s="37"/>
      <c r="I59" s="37"/>
      <c r="J59" s="37"/>
      <c r="K59" s="37"/>
      <c r="L59" s="37"/>
      <c r="M59" s="37"/>
      <c r="N59" s="41"/>
      <c r="O59" s="41"/>
      <c r="P59" s="41"/>
      <c r="Q59" s="41"/>
      <c r="R59" s="41"/>
      <c r="S59" s="41"/>
      <c r="T59" s="41"/>
      <c r="U59" s="105"/>
      <c r="V59" s="105"/>
      <c r="AC59" s="118"/>
      <c r="AD59" s="118"/>
    </row>
    <row r="60" spans="1:30">
      <c r="A60" s="36"/>
      <c r="B60" s="37"/>
      <c r="C60" s="37"/>
      <c r="D60" s="37"/>
      <c r="E60" s="37"/>
      <c r="F60" s="37"/>
      <c r="G60" s="37"/>
      <c r="H60" s="37"/>
      <c r="I60" s="37"/>
      <c r="J60" s="37"/>
      <c r="K60" s="37"/>
      <c r="L60" s="37"/>
      <c r="M60" s="37"/>
      <c r="N60" s="41"/>
      <c r="O60" s="41"/>
      <c r="P60" s="41"/>
      <c r="Q60" s="41"/>
      <c r="R60" s="41"/>
      <c r="S60" s="41"/>
      <c r="T60" s="41"/>
      <c r="U60" s="105"/>
      <c r="V60" s="105"/>
    </row>
    <row r="61" spans="1:30">
      <c r="A61" s="36"/>
      <c r="B61" s="37"/>
      <c r="C61" s="37"/>
      <c r="D61" s="37"/>
      <c r="E61" s="37"/>
      <c r="F61" s="37"/>
      <c r="G61" s="37"/>
      <c r="H61" s="37"/>
      <c r="I61" s="37"/>
      <c r="J61" s="37"/>
      <c r="K61" s="37"/>
      <c r="L61" s="37"/>
      <c r="M61" s="37"/>
      <c r="N61" s="41"/>
      <c r="O61" s="41"/>
      <c r="P61" s="41"/>
      <c r="Q61" s="41"/>
      <c r="R61" s="41"/>
      <c r="S61" s="41"/>
      <c r="T61" s="41"/>
      <c r="U61" s="105"/>
      <c r="V61" s="105"/>
    </row>
    <row r="62" spans="1:30">
      <c r="A62" s="36"/>
      <c r="B62" s="37"/>
      <c r="C62" s="37"/>
      <c r="D62" s="37"/>
      <c r="E62" s="37"/>
      <c r="F62" s="37"/>
      <c r="G62" s="37"/>
      <c r="H62" s="37"/>
      <c r="I62" s="37"/>
      <c r="J62" s="37"/>
      <c r="K62" s="37"/>
      <c r="L62" s="37"/>
      <c r="M62" s="37"/>
      <c r="N62" s="41"/>
      <c r="O62" s="41"/>
      <c r="P62" s="41"/>
      <c r="Q62" s="41"/>
      <c r="R62" s="41"/>
      <c r="S62" s="41"/>
      <c r="T62" s="41"/>
      <c r="U62" s="105"/>
      <c r="V62" s="105"/>
    </row>
    <row r="63" spans="1:30">
      <c r="A63" s="38"/>
      <c r="B63" s="217"/>
      <c r="C63" s="217"/>
      <c r="D63" s="217"/>
      <c r="E63" s="217"/>
      <c r="F63" s="40"/>
      <c r="G63" s="41"/>
      <c r="H63" s="41"/>
      <c r="I63" s="218"/>
      <c r="J63" s="218"/>
      <c r="K63" s="218"/>
      <c r="L63" s="41"/>
      <c r="M63" s="41"/>
      <c r="N63" s="41"/>
      <c r="O63" s="41"/>
      <c r="P63" s="41"/>
      <c r="Q63" s="41"/>
      <c r="R63" s="41"/>
      <c r="S63" s="41"/>
      <c r="T63" s="41"/>
      <c r="U63" s="105"/>
      <c r="V63" s="105"/>
    </row>
    <row r="64" spans="1:30">
      <c r="A64" s="38"/>
      <c r="B64" s="39" t="s">
        <v>80</v>
      </c>
      <c r="C64" s="42"/>
      <c r="D64" s="42"/>
      <c r="E64" s="42"/>
      <c r="F64" s="40"/>
      <c r="G64" s="41"/>
      <c r="H64" s="41"/>
      <c r="I64" s="207" t="s">
        <v>81</v>
      </c>
      <c r="J64" s="207"/>
      <c r="K64" s="207"/>
      <c r="L64" s="207"/>
      <c r="M64" s="41"/>
      <c r="N64" s="41"/>
      <c r="O64" s="41"/>
      <c r="P64" s="41"/>
      <c r="Q64" s="41"/>
      <c r="R64" s="41"/>
      <c r="S64" s="41"/>
      <c r="T64" s="41"/>
      <c r="U64" s="105"/>
      <c r="V64" s="105"/>
    </row>
    <row r="65" spans="1:22" ht="15">
      <c r="A65" s="38"/>
      <c r="B65" s="208" t="s">
        <v>85</v>
      </c>
      <c r="C65" s="209"/>
      <c r="D65" s="209"/>
      <c r="E65" s="209"/>
      <c r="F65" s="37"/>
      <c r="G65" s="121"/>
      <c r="H65" s="121"/>
      <c r="I65" s="208" t="s">
        <v>82</v>
      </c>
      <c r="J65" s="209"/>
      <c r="K65" s="209"/>
      <c r="L65" s="209"/>
      <c r="M65" s="125"/>
      <c r="N65" s="41"/>
      <c r="O65" s="41"/>
      <c r="P65" s="41"/>
      <c r="Q65" s="41"/>
      <c r="R65" s="41"/>
      <c r="S65" s="41"/>
      <c r="T65" s="41"/>
      <c r="U65" s="105"/>
      <c r="V65" s="105"/>
    </row>
    <row r="66" spans="1:22" ht="15">
      <c r="A66" s="38"/>
      <c r="B66" s="210" t="s">
        <v>83</v>
      </c>
      <c r="C66" s="209"/>
      <c r="D66" s="209"/>
      <c r="E66" s="209"/>
      <c r="F66" s="37"/>
      <c r="G66" s="121"/>
      <c r="H66" s="121"/>
      <c r="I66" s="210" t="s">
        <v>84</v>
      </c>
      <c r="J66" s="209"/>
      <c r="K66" s="209"/>
      <c r="L66" s="209"/>
      <c r="M66" s="125"/>
      <c r="N66" s="41"/>
      <c r="O66" s="41"/>
      <c r="P66" s="41"/>
      <c r="Q66" s="41"/>
      <c r="R66" s="41"/>
      <c r="S66" s="41"/>
      <c r="T66" s="41"/>
      <c r="U66" s="105"/>
      <c r="V66" s="105"/>
    </row>
    <row r="67" spans="1:22" ht="15">
      <c r="A67" s="122"/>
      <c r="B67" s="198"/>
      <c r="C67" s="198"/>
      <c r="D67" s="198"/>
      <c r="E67" s="198"/>
      <c r="F67" s="123"/>
      <c r="G67" s="124"/>
      <c r="H67" s="124"/>
      <c r="I67" s="198"/>
      <c r="J67" s="198"/>
      <c r="K67" s="198"/>
      <c r="L67" s="124"/>
      <c r="M67" s="124"/>
      <c r="N67" s="126"/>
      <c r="O67" s="126"/>
      <c r="P67" s="126"/>
      <c r="Q67" s="126"/>
      <c r="R67" s="126"/>
      <c r="S67" s="126"/>
      <c r="T67" s="126"/>
      <c r="U67" s="127"/>
      <c r="V67" s="127"/>
    </row>
  </sheetData>
  <mergeCells count="82">
    <mergeCell ref="N5:P5"/>
    <mergeCell ref="Q5:R5"/>
    <mergeCell ref="T5:U5"/>
    <mergeCell ref="A8:D8"/>
    <mergeCell ref="G8:H8"/>
    <mergeCell ref="I8:J8"/>
    <mergeCell ref="P8:Q8"/>
    <mergeCell ref="U8:V8"/>
    <mergeCell ref="A10:C10"/>
    <mergeCell ref="D10:I10"/>
    <mergeCell ref="A11:C11"/>
    <mergeCell ref="D11:I11"/>
    <mergeCell ref="A12:C12"/>
    <mergeCell ref="D12:I12"/>
    <mergeCell ref="A13:C13"/>
    <mergeCell ref="D13:I13"/>
    <mergeCell ref="A14:C14"/>
    <mergeCell ref="D14:I14"/>
    <mergeCell ref="L14:M14"/>
    <mergeCell ref="A15:C15"/>
    <mergeCell ref="D15:I15"/>
    <mergeCell ref="L15:M15"/>
    <mergeCell ref="A16:C16"/>
    <mergeCell ref="D16:I16"/>
    <mergeCell ref="A17:C17"/>
    <mergeCell ref="D17:I17"/>
    <mergeCell ref="B19:I19"/>
    <mergeCell ref="A20:T20"/>
    <mergeCell ref="B21:I21"/>
    <mergeCell ref="B22:I22"/>
    <mergeCell ref="B23:I23"/>
    <mergeCell ref="B24:I24"/>
    <mergeCell ref="B25:I25"/>
    <mergeCell ref="A26:T26"/>
    <mergeCell ref="B27:I27"/>
    <mergeCell ref="B28:I28"/>
    <mergeCell ref="B29:I29"/>
    <mergeCell ref="B30:I30"/>
    <mergeCell ref="B31:I31"/>
    <mergeCell ref="B32:I32"/>
    <mergeCell ref="B33:I33"/>
    <mergeCell ref="B34:I34"/>
    <mergeCell ref="B35:I35"/>
    <mergeCell ref="B36:I36"/>
    <mergeCell ref="I63:K63"/>
    <mergeCell ref="A47:T47"/>
    <mergeCell ref="B48:I48"/>
    <mergeCell ref="B49:I49"/>
    <mergeCell ref="B50:I50"/>
    <mergeCell ref="B51:I51"/>
    <mergeCell ref="B67:E67"/>
    <mergeCell ref="I67:K67"/>
    <mergeCell ref="A56:A57"/>
    <mergeCell ref="U21:U25"/>
    <mergeCell ref="U27:U46"/>
    <mergeCell ref="U48:U52"/>
    <mergeCell ref="I64:L64"/>
    <mergeCell ref="B65:E65"/>
    <mergeCell ref="I65:L65"/>
    <mergeCell ref="B66:E66"/>
    <mergeCell ref="I66:L66"/>
    <mergeCell ref="B52:I52"/>
    <mergeCell ref="A53:T53"/>
    <mergeCell ref="B54:I54"/>
    <mergeCell ref="A55:T55"/>
    <mergeCell ref="B63:E63"/>
    <mergeCell ref="K1:M3"/>
    <mergeCell ref="T1:V3"/>
    <mergeCell ref="A1:C3"/>
    <mergeCell ref="D1:J3"/>
    <mergeCell ref="D56:U57"/>
    <mergeCell ref="B56:C57"/>
    <mergeCell ref="B42:I42"/>
    <mergeCell ref="B43:I43"/>
    <mergeCell ref="B44:I44"/>
    <mergeCell ref="B45:I45"/>
    <mergeCell ref="B46:I46"/>
    <mergeCell ref="B37:I37"/>
    <mergeCell ref="B38:I38"/>
    <mergeCell ref="B39:I39"/>
    <mergeCell ref="B40:I40"/>
    <mergeCell ref="B41:I41"/>
  </mergeCells>
  <pageMargins left="0.31496062992126" right="0.31496062992126" top="0.55118110236220497" bottom="0.55118110236220497" header="0.31496062992126" footer="0.31496062992126"/>
  <pageSetup scale="42"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pageSetUpPr fitToPage="1"/>
  </sheetPr>
  <dimension ref="A1:AF67"/>
  <sheetViews>
    <sheetView showGridLines="0" view="pageBreakPreview" zoomScale="70" zoomScaleNormal="120" zoomScalePageLayoutView="70" workbookViewId="0">
      <selection activeCell="R29" sqref="R29"/>
    </sheetView>
  </sheetViews>
  <sheetFormatPr baseColWidth="10" defaultColWidth="11.453125" defaultRowHeight="14"/>
  <cols>
    <col min="1" max="1" width="3.453125" style="3" customWidth="1"/>
    <col min="2" max="2" width="11.453125" style="3"/>
    <col min="3" max="3" width="14.36328125" style="3" customWidth="1"/>
    <col min="4" max="4" width="8.81640625" style="3" customWidth="1"/>
    <col min="5" max="6" width="11.6328125" style="3" customWidth="1"/>
    <col min="7" max="8" width="11.453125" style="3"/>
    <col min="9" max="9" width="6.453125" style="3" customWidth="1"/>
    <col min="10" max="10" width="9.1796875" style="3" customWidth="1"/>
    <col min="11" max="11" width="8.6328125" style="3" customWidth="1"/>
    <col min="12" max="12" width="12.453125" style="3" customWidth="1"/>
    <col min="13" max="13" width="13.36328125" style="3" customWidth="1"/>
    <col min="14" max="14" width="17.81640625" style="3" customWidth="1"/>
    <col min="15" max="15" width="13.81640625" style="3" customWidth="1"/>
    <col min="16" max="19" width="11.453125" style="3" customWidth="1"/>
    <col min="20" max="20" width="10.81640625" style="3" customWidth="1"/>
    <col min="21" max="21" width="13.1796875" style="3" customWidth="1"/>
    <col min="22" max="22" width="1.453125" style="3" customWidth="1"/>
    <col min="23" max="16384" width="11.453125" style="3"/>
  </cols>
  <sheetData>
    <row r="1" spans="1:22" s="1" customFormat="1" ht="22" customHeight="1">
      <c r="A1" s="167"/>
      <c r="B1" s="168"/>
      <c r="C1" s="169"/>
      <c r="D1" s="176" t="s">
        <v>0</v>
      </c>
      <c r="E1" s="177"/>
      <c r="F1" s="177"/>
      <c r="G1" s="177"/>
      <c r="H1" s="177"/>
      <c r="I1" s="177"/>
      <c r="J1" s="178"/>
      <c r="K1" s="156" t="s">
        <v>1</v>
      </c>
      <c r="L1" s="156"/>
      <c r="M1" s="157"/>
      <c r="N1" s="43"/>
      <c r="O1" s="43"/>
      <c r="P1" s="43"/>
      <c r="Q1" s="43"/>
      <c r="R1" s="43"/>
      <c r="S1" s="43"/>
      <c r="T1" s="162"/>
      <c r="U1" s="163"/>
      <c r="V1" s="164"/>
    </row>
    <row r="2" spans="1:22" s="1" customFormat="1" ht="22" customHeight="1">
      <c r="A2" s="170"/>
      <c r="B2" s="171"/>
      <c r="C2" s="172"/>
      <c r="D2" s="179"/>
      <c r="E2" s="180"/>
      <c r="F2" s="180"/>
      <c r="G2" s="180"/>
      <c r="H2" s="180"/>
      <c r="I2" s="180"/>
      <c r="J2" s="181"/>
      <c r="K2" s="158"/>
      <c r="L2" s="158"/>
      <c r="M2" s="159"/>
      <c r="N2" s="44"/>
      <c r="O2" s="44"/>
      <c r="P2" s="44"/>
      <c r="Q2" s="44"/>
      <c r="R2" s="44"/>
      <c r="S2" s="44"/>
      <c r="T2" s="165"/>
      <c r="U2" s="165"/>
      <c r="V2" s="166"/>
    </row>
    <row r="3" spans="1:22" s="1" customFormat="1" ht="22" customHeight="1">
      <c r="A3" s="173"/>
      <c r="B3" s="174"/>
      <c r="C3" s="175"/>
      <c r="D3" s="182"/>
      <c r="E3" s="183"/>
      <c r="F3" s="183"/>
      <c r="G3" s="183"/>
      <c r="H3" s="183"/>
      <c r="I3" s="183"/>
      <c r="J3" s="184"/>
      <c r="K3" s="160"/>
      <c r="L3" s="160"/>
      <c r="M3" s="161"/>
      <c r="N3" s="44"/>
      <c r="O3" s="44"/>
      <c r="P3" s="44"/>
      <c r="Q3" s="44"/>
      <c r="R3" s="44"/>
      <c r="S3" s="44"/>
      <c r="T3" s="165"/>
      <c r="U3" s="165"/>
      <c r="V3" s="166"/>
    </row>
    <row r="4" spans="1:22" s="1" customFormat="1" ht="12.75" customHeight="1">
      <c r="A4" s="4"/>
      <c r="C4" s="46"/>
      <c r="D4" s="46"/>
      <c r="E4" s="46"/>
      <c r="F4" s="46"/>
      <c r="G4" s="46"/>
      <c r="H4" s="46"/>
      <c r="I4" s="46"/>
      <c r="J4" s="46"/>
      <c r="K4" s="46"/>
      <c r="L4" s="46"/>
      <c r="M4" s="45"/>
      <c r="N4" s="46"/>
      <c r="O4" s="46"/>
      <c r="P4" s="46"/>
      <c r="Q4" s="46"/>
      <c r="R4" s="131"/>
      <c r="S4" s="131"/>
      <c r="T4" s="51"/>
      <c r="V4" s="83"/>
    </row>
    <row r="5" spans="1:22" s="1" customFormat="1" ht="31" customHeight="1">
      <c r="A5" s="4"/>
      <c r="B5" s="7" t="s">
        <v>2</v>
      </c>
      <c r="C5" s="7" t="s">
        <v>3</v>
      </c>
      <c r="D5" s="49"/>
      <c r="E5" s="7" t="s">
        <v>4</v>
      </c>
      <c r="F5" s="7" t="s">
        <v>5</v>
      </c>
      <c r="H5" s="9" t="s">
        <v>6</v>
      </c>
      <c r="I5" s="47">
        <v>2</v>
      </c>
      <c r="K5" s="9" t="s">
        <v>7</v>
      </c>
      <c r="L5" s="47" t="s">
        <v>8</v>
      </c>
      <c r="M5" s="48"/>
      <c r="N5" s="240"/>
      <c r="O5" s="240"/>
      <c r="P5" s="240"/>
      <c r="Q5" s="241"/>
      <c r="R5" s="241"/>
      <c r="S5" s="132"/>
      <c r="T5" s="240"/>
      <c r="U5" s="240"/>
      <c r="V5" s="83"/>
    </row>
    <row r="6" spans="1:22" s="1" customFormat="1" ht="24" customHeight="1">
      <c r="A6" s="10"/>
      <c r="B6" s="11"/>
      <c r="C6" s="12"/>
      <c r="D6" s="12"/>
      <c r="E6" s="12"/>
      <c r="F6" s="12"/>
      <c r="G6" s="12"/>
      <c r="H6" s="12"/>
      <c r="I6" s="12"/>
      <c r="J6" s="12"/>
      <c r="K6" s="12"/>
      <c r="L6" s="12"/>
      <c r="M6" s="50"/>
      <c r="N6" s="46"/>
      <c r="O6" s="46"/>
      <c r="P6" s="46"/>
      <c r="Q6" s="46"/>
      <c r="R6" s="131"/>
      <c r="S6" s="131"/>
      <c r="T6" s="51"/>
      <c r="V6" s="83"/>
    </row>
    <row r="7" spans="1:22" s="1" customFormat="1" ht="18" customHeight="1">
      <c r="A7" s="4"/>
      <c r="V7" s="83"/>
    </row>
    <row r="8" spans="1:22" s="1" customFormat="1" ht="13.5" customHeight="1">
      <c r="A8" s="242" t="s">
        <v>9</v>
      </c>
      <c r="B8" s="243"/>
      <c r="C8" s="243"/>
      <c r="D8" s="243"/>
      <c r="E8" s="13">
        <v>46048</v>
      </c>
      <c r="F8" s="14"/>
      <c r="G8" s="244" t="s">
        <v>10</v>
      </c>
      <c r="H8" s="244"/>
      <c r="I8" s="245">
        <v>46053</v>
      </c>
      <c r="J8" s="243"/>
      <c r="K8" s="17"/>
      <c r="L8" s="51"/>
      <c r="P8" s="246"/>
      <c r="Q8" s="171"/>
      <c r="S8" s="133"/>
      <c r="U8" s="246"/>
      <c r="V8" s="247"/>
    </row>
    <row r="9" spans="1:22" s="1" customFormat="1" ht="17.25" customHeight="1">
      <c r="A9" s="15"/>
      <c r="B9" s="14"/>
      <c r="C9" s="14"/>
      <c r="D9" s="14"/>
      <c r="E9" s="16"/>
      <c r="F9" s="16"/>
      <c r="G9" s="17"/>
      <c r="H9" s="17"/>
      <c r="I9" s="17"/>
      <c r="J9" s="17"/>
      <c r="K9" s="17"/>
      <c r="L9" s="17"/>
      <c r="M9" s="17"/>
      <c r="N9" s="17"/>
      <c r="O9" s="17"/>
      <c r="R9" s="85"/>
      <c r="S9" s="85"/>
      <c r="T9" s="85"/>
      <c r="U9" s="85"/>
      <c r="V9" s="86"/>
    </row>
    <row r="10" spans="1:22" s="1" customFormat="1" ht="12.75" customHeight="1">
      <c r="A10" s="234" t="s">
        <v>11</v>
      </c>
      <c r="B10" s="235"/>
      <c r="C10" s="235"/>
      <c r="D10" s="236">
        <v>7</v>
      </c>
      <c r="E10" s="236"/>
      <c r="F10" s="236"/>
      <c r="G10" s="236"/>
      <c r="H10" s="236"/>
      <c r="I10" s="236"/>
      <c r="J10" s="17"/>
      <c r="K10" s="17"/>
      <c r="L10" s="17"/>
      <c r="M10" s="17"/>
      <c r="N10" s="17"/>
      <c r="O10" s="17"/>
      <c r="R10" s="85"/>
      <c r="S10" s="85"/>
      <c r="T10" s="85"/>
      <c r="U10" s="85"/>
      <c r="V10" s="86"/>
    </row>
    <row r="11" spans="1:22" s="1" customFormat="1" ht="12.75" customHeight="1">
      <c r="A11" s="234" t="s">
        <v>12</v>
      </c>
      <c r="B11" s="235"/>
      <c r="C11" s="235"/>
      <c r="D11" s="236" t="s">
        <v>8</v>
      </c>
      <c r="E11" s="236"/>
      <c r="F11" s="236"/>
      <c r="G11" s="236"/>
      <c r="H11" s="236"/>
      <c r="I11" s="236"/>
      <c r="J11" s="18"/>
      <c r="K11" s="18"/>
      <c r="L11" s="18"/>
      <c r="M11" s="18"/>
      <c r="N11" s="18"/>
      <c r="O11" s="18"/>
      <c r="P11" s="18"/>
      <c r="Q11" s="18"/>
      <c r="R11" s="18"/>
      <c r="S11" s="18"/>
      <c r="T11" s="18"/>
      <c r="U11" s="18"/>
      <c r="V11" s="87"/>
    </row>
    <row r="12" spans="1:22" s="1" customFormat="1" ht="12.75" customHeight="1">
      <c r="A12" s="234" t="s">
        <v>13</v>
      </c>
      <c r="B12" s="235"/>
      <c r="C12" s="235"/>
      <c r="D12" s="236" t="s">
        <v>14</v>
      </c>
      <c r="E12" s="236"/>
      <c r="F12" s="236"/>
      <c r="G12" s="236"/>
      <c r="H12" s="236"/>
      <c r="I12" s="236"/>
      <c r="J12" s="18"/>
      <c r="K12" s="18"/>
      <c r="L12" s="18"/>
      <c r="M12" s="18"/>
      <c r="N12" s="18"/>
      <c r="O12" s="18"/>
      <c r="P12" s="18"/>
      <c r="R12" s="85"/>
      <c r="S12" s="85"/>
      <c r="T12" s="85"/>
      <c r="U12" s="85"/>
      <c r="V12" s="86"/>
    </row>
    <row r="13" spans="1:22" s="1" customFormat="1" ht="12.75" customHeight="1">
      <c r="A13" s="234" t="s">
        <v>15</v>
      </c>
      <c r="B13" s="235"/>
      <c r="C13" s="235"/>
      <c r="D13" s="236" t="s">
        <v>5</v>
      </c>
      <c r="E13" s="236"/>
      <c r="F13" s="236"/>
      <c r="G13" s="236"/>
      <c r="H13" s="236"/>
      <c r="I13" s="236"/>
      <c r="J13" s="18"/>
      <c r="L13" s="18"/>
      <c r="M13" s="18"/>
      <c r="N13" s="18"/>
      <c r="O13" s="18"/>
      <c r="P13" s="18"/>
      <c r="Q13" s="18"/>
      <c r="R13" s="18"/>
      <c r="S13" s="18"/>
      <c r="T13" s="85"/>
      <c r="U13" s="85"/>
      <c r="V13" s="86"/>
    </row>
    <row r="14" spans="1:22" s="1" customFormat="1" ht="12.75" customHeight="1">
      <c r="A14" s="234" t="s">
        <v>16</v>
      </c>
      <c r="B14" s="235"/>
      <c r="C14" s="235"/>
      <c r="D14" s="236" t="s">
        <v>17</v>
      </c>
      <c r="E14" s="236"/>
      <c r="F14" s="236"/>
      <c r="G14" s="236"/>
      <c r="H14" s="236"/>
      <c r="I14" s="236"/>
      <c r="J14" s="17" t="s">
        <v>18</v>
      </c>
      <c r="L14" s="237" t="s">
        <v>3</v>
      </c>
      <c r="M14" s="237"/>
      <c r="N14" s="18"/>
      <c r="O14" s="18"/>
      <c r="P14" s="18"/>
      <c r="R14" s="85"/>
      <c r="T14" s="85"/>
      <c r="U14" s="85"/>
      <c r="V14" s="86"/>
    </row>
    <row r="15" spans="1:22" s="1" customFormat="1" ht="12.75" customHeight="1">
      <c r="A15" s="234" t="s">
        <v>19</v>
      </c>
      <c r="B15" s="235"/>
      <c r="C15" s="235"/>
      <c r="D15" s="236" t="s">
        <v>20</v>
      </c>
      <c r="E15" s="236"/>
      <c r="F15" s="236"/>
      <c r="G15" s="236"/>
      <c r="H15" s="236"/>
      <c r="I15" s="236"/>
      <c r="J15" s="17" t="s">
        <v>21</v>
      </c>
      <c r="L15" s="237" t="s">
        <v>22</v>
      </c>
      <c r="M15" s="237"/>
      <c r="N15" s="18"/>
      <c r="O15" s="18"/>
      <c r="P15" s="18"/>
      <c r="Q15" s="18"/>
      <c r="R15" s="18"/>
      <c r="T15" s="85"/>
      <c r="U15" s="85"/>
      <c r="V15" s="86"/>
    </row>
    <row r="16" spans="1:22" s="1" customFormat="1" ht="12.75" customHeight="1">
      <c r="A16" s="238" t="s">
        <v>23</v>
      </c>
      <c r="B16" s="239"/>
      <c r="C16" s="239"/>
      <c r="D16" s="236" t="s">
        <v>24</v>
      </c>
      <c r="E16" s="236"/>
      <c r="F16" s="236"/>
      <c r="G16" s="236"/>
      <c r="H16" s="236"/>
      <c r="I16" s="236"/>
      <c r="J16" s="18"/>
      <c r="K16" s="18"/>
      <c r="L16" s="18"/>
      <c r="M16" s="18"/>
      <c r="N16" s="18"/>
      <c r="O16" s="18"/>
      <c r="P16" s="18"/>
      <c r="R16" s="85"/>
      <c r="S16" s="85"/>
      <c r="T16" s="85"/>
      <c r="U16" s="85"/>
      <c r="V16" s="86"/>
    </row>
    <row r="17" spans="1:32" s="1" customFormat="1" ht="12.75" customHeight="1">
      <c r="A17" s="225" t="s">
        <v>25</v>
      </c>
      <c r="B17" s="226"/>
      <c r="C17" s="226"/>
      <c r="D17" s="227">
        <v>46053</v>
      </c>
      <c r="E17" s="228"/>
      <c r="F17" s="228"/>
      <c r="G17" s="228"/>
      <c r="H17" s="228"/>
      <c r="I17" s="228"/>
      <c r="J17" s="19"/>
      <c r="K17" s="19"/>
      <c r="L17" s="19"/>
      <c r="M17" s="19"/>
      <c r="N17" s="52"/>
      <c r="O17" s="53"/>
      <c r="P17" s="5"/>
      <c r="Q17" s="5"/>
      <c r="R17" s="23"/>
      <c r="S17" s="23"/>
      <c r="T17" s="23"/>
      <c r="U17" s="23"/>
      <c r="V17" s="88"/>
    </row>
    <row r="18" spans="1:32" s="1" customFormat="1" ht="36.75" customHeight="1">
      <c r="A18" s="20"/>
      <c r="B18" s="21"/>
      <c r="C18" s="21"/>
      <c r="D18" s="21"/>
      <c r="E18" s="21"/>
      <c r="F18" s="21"/>
      <c r="G18" s="21"/>
      <c r="H18" s="21"/>
      <c r="I18" s="21"/>
      <c r="J18" s="21"/>
      <c r="K18" s="21"/>
      <c r="L18" s="21"/>
      <c r="M18" s="21"/>
      <c r="N18" s="54" t="s">
        <v>26</v>
      </c>
      <c r="O18" s="54" t="s">
        <v>27</v>
      </c>
      <c r="P18" s="54" t="s">
        <v>28</v>
      </c>
      <c r="Q18" s="54" t="s">
        <v>28</v>
      </c>
      <c r="R18" s="54" t="s">
        <v>28</v>
      </c>
      <c r="S18" s="54" t="s">
        <v>28</v>
      </c>
      <c r="T18" s="54" t="s">
        <v>28</v>
      </c>
      <c r="U18" s="89"/>
      <c r="V18" s="86"/>
    </row>
    <row r="19" spans="1:32" s="1" customFormat="1" ht="21.75" customHeight="1">
      <c r="A19" s="22" t="s">
        <v>29</v>
      </c>
      <c r="B19" s="253" t="s">
        <v>30</v>
      </c>
      <c r="C19" s="253"/>
      <c r="D19" s="253"/>
      <c r="E19" s="253"/>
      <c r="F19" s="253"/>
      <c r="G19" s="253"/>
      <c r="H19" s="253"/>
      <c r="I19" s="253"/>
      <c r="J19" s="55" t="s">
        <v>31</v>
      </c>
      <c r="K19" s="55" t="s">
        <v>32</v>
      </c>
      <c r="L19" s="55" t="s">
        <v>33</v>
      </c>
      <c r="M19" s="55" t="s">
        <v>34</v>
      </c>
      <c r="N19" s="56" t="s">
        <v>35</v>
      </c>
      <c r="O19" s="57">
        <v>46048</v>
      </c>
      <c r="P19" s="57">
        <v>46049</v>
      </c>
      <c r="Q19" s="57">
        <v>46050</v>
      </c>
      <c r="R19" s="57">
        <v>46051</v>
      </c>
      <c r="S19" s="57">
        <v>46052</v>
      </c>
      <c r="T19" s="56" t="s">
        <v>36</v>
      </c>
      <c r="U19" s="90" t="s">
        <v>37</v>
      </c>
      <c r="V19" s="86"/>
    </row>
    <row r="20" spans="1:32" s="1" customFormat="1" ht="17.25" customHeight="1">
      <c r="A20" s="230" t="s">
        <v>38</v>
      </c>
      <c r="B20" s="231"/>
      <c r="C20" s="231"/>
      <c r="D20" s="231"/>
      <c r="E20" s="231"/>
      <c r="F20" s="231"/>
      <c r="G20" s="231"/>
      <c r="H20" s="231"/>
      <c r="I20" s="231"/>
      <c r="J20" s="231"/>
      <c r="K20" s="231"/>
      <c r="L20" s="231"/>
      <c r="M20" s="231"/>
      <c r="N20" s="232"/>
      <c r="O20" s="232"/>
      <c r="P20" s="232"/>
      <c r="Q20" s="232"/>
      <c r="R20" s="232"/>
      <c r="S20" s="232"/>
      <c r="T20" s="233"/>
      <c r="U20" s="134">
        <v>20</v>
      </c>
      <c r="V20" s="86"/>
      <c r="AC20" s="116" t="s">
        <v>39</v>
      </c>
      <c r="AD20" s="116" t="s">
        <v>40</v>
      </c>
    </row>
    <row r="21" spans="1:32" s="1" customFormat="1" ht="17.25" customHeight="1">
      <c r="A21" s="27">
        <v>1</v>
      </c>
      <c r="B21" s="221" t="s">
        <v>41</v>
      </c>
      <c r="C21" s="221"/>
      <c r="D21" s="221"/>
      <c r="E21" s="221"/>
      <c r="F21" s="221"/>
      <c r="G21" s="221"/>
      <c r="H21" s="221"/>
      <c r="I21" s="221"/>
      <c r="J21" s="62" t="s">
        <v>42</v>
      </c>
      <c r="K21" s="71"/>
      <c r="L21" s="71"/>
      <c r="M21" s="71"/>
      <c r="N21" s="129">
        <v>4</v>
      </c>
      <c r="O21" s="72">
        <v>1</v>
      </c>
      <c r="P21" s="72">
        <v>1</v>
      </c>
      <c r="Q21" s="72">
        <v>1</v>
      </c>
      <c r="R21" s="72">
        <v>1</v>
      </c>
      <c r="S21" s="135">
        <v>1</v>
      </c>
      <c r="T21" s="136">
        <f>AVERAGE(O21:S21)</f>
        <v>1</v>
      </c>
      <c r="U21" s="201">
        <f>IF(SUM(N21:N25)&lt;&gt;U20,"Ajustar Ponderacion",IF(SUM(AD21:AD25)=0,"",IF(SUM(AC21:AC25)=U20,IF(SUM(N21:N25)=U20,SUM(AD21:AD25),"Ajustar ponderacion"),"Ajustar ponderacion")))</f>
        <v>20</v>
      </c>
      <c r="V21" s="86"/>
      <c r="AC21" s="117">
        <f t="shared" ref="AC21:AC54" si="0">IF(J21="x",N21)</f>
        <v>4</v>
      </c>
      <c r="AD21" s="118">
        <f t="shared" ref="AD21:AD54" si="1">AC21*T21</f>
        <v>4</v>
      </c>
      <c r="AF21" s="1">
        <v>0</v>
      </c>
    </row>
    <row r="22" spans="1:32" s="1" customFormat="1" ht="28.75" customHeight="1">
      <c r="A22" s="28">
        <v>2</v>
      </c>
      <c r="B22" s="196" t="s">
        <v>43</v>
      </c>
      <c r="C22" s="196"/>
      <c r="D22" s="196"/>
      <c r="E22" s="196"/>
      <c r="F22" s="196"/>
      <c r="G22" s="196"/>
      <c r="H22" s="196"/>
      <c r="I22" s="196"/>
      <c r="J22" s="62" t="s">
        <v>42</v>
      </c>
      <c r="K22" s="63"/>
      <c r="L22" s="63"/>
      <c r="M22" s="63"/>
      <c r="N22" s="64">
        <v>4</v>
      </c>
      <c r="O22" s="72">
        <v>1</v>
      </c>
      <c r="P22" s="72">
        <v>1</v>
      </c>
      <c r="Q22" s="72">
        <v>1</v>
      </c>
      <c r="R22" s="72">
        <v>1</v>
      </c>
      <c r="S22" s="135">
        <v>1</v>
      </c>
      <c r="T22" s="137">
        <f>AVERAGE(O22:S22)</f>
        <v>1</v>
      </c>
      <c r="U22" s="202"/>
      <c r="V22" s="86"/>
      <c r="AC22" s="117">
        <f t="shared" si="0"/>
        <v>4</v>
      </c>
      <c r="AD22" s="118">
        <f t="shared" si="1"/>
        <v>4</v>
      </c>
      <c r="AF22" s="1">
        <v>100</v>
      </c>
    </row>
    <row r="23" spans="1:32" s="1" customFormat="1" ht="27.75" customHeight="1">
      <c r="A23" s="28">
        <v>3</v>
      </c>
      <c r="B23" s="196" t="s">
        <v>44</v>
      </c>
      <c r="C23" s="196"/>
      <c r="D23" s="196"/>
      <c r="E23" s="196"/>
      <c r="F23" s="196"/>
      <c r="G23" s="196"/>
      <c r="H23" s="196"/>
      <c r="I23" s="196"/>
      <c r="J23" s="62" t="s">
        <v>42</v>
      </c>
      <c r="K23" s="63"/>
      <c r="L23" s="63"/>
      <c r="M23" s="63"/>
      <c r="N23" s="64">
        <v>4</v>
      </c>
      <c r="O23" s="72">
        <v>1</v>
      </c>
      <c r="P23" s="72">
        <v>1</v>
      </c>
      <c r="Q23" s="72">
        <v>1</v>
      </c>
      <c r="R23" s="72">
        <v>1</v>
      </c>
      <c r="S23" s="135">
        <v>1</v>
      </c>
      <c r="T23" s="137">
        <f>AVERAGE(O23:S23)</f>
        <v>1</v>
      </c>
      <c r="U23" s="202"/>
      <c r="V23" s="86"/>
      <c r="AC23" s="117">
        <f t="shared" si="0"/>
        <v>4</v>
      </c>
      <c r="AD23" s="118">
        <f t="shared" si="1"/>
        <v>4</v>
      </c>
    </row>
    <row r="24" spans="1:32" s="1" customFormat="1" ht="30.75" customHeight="1">
      <c r="A24" s="28">
        <v>4</v>
      </c>
      <c r="B24" s="196" t="s">
        <v>45</v>
      </c>
      <c r="C24" s="196"/>
      <c r="D24" s="196"/>
      <c r="E24" s="196"/>
      <c r="F24" s="196"/>
      <c r="G24" s="196"/>
      <c r="H24" s="196"/>
      <c r="I24" s="196"/>
      <c r="J24" s="62" t="s">
        <v>42</v>
      </c>
      <c r="K24" s="62"/>
      <c r="L24" s="63"/>
      <c r="M24" s="63"/>
      <c r="N24" s="64">
        <v>4</v>
      </c>
      <c r="O24" s="72">
        <v>1</v>
      </c>
      <c r="P24" s="72">
        <v>1</v>
      </c>
      <c r="Q24" s="72">
        <v>1</v>
      </c>
      <c r="R24" s="72">
        <v>1</v>
      </c>
      <c r="S24" s="135">
        <v>1</v>
      </c>
      <c r="T24" s="137">
        <f>AVERAGE(O24:S24)</f>
        <v>1</v>
      </c>
      <c r="U24" s="202"/>
      <c r="V24" s="86"/>
      <c r="AC24" s="117">
        <f t="shared" si="0"/>
        <v>4</v>
      </c>
      <c r="AD24" s="118">
        <f t="shared" si="1"/>
        <v>4</v>
      </c>
    </row>
    <row r="25" spans="1:32" s="1" customFormat="1" ht="17.25" customHeight="1">
      <c r="A25" s="128">
        <v>5</v>
      </c>
      <c r="B25" s="197" t="s">
        <v>46</v>
      </c>
      <c r="C25" s="197"/>
      <c r="D25" s="197"/>
      <c r="E25" s="197"/>
      <c r="F25" s="197"/>
      <c r="G25" s="197"/>
      <c r="H25" s="197"/>
      <c r="I25" s="197"/>
      <c r="J25" s="62" t="s">
        <v>42</v>
      </c>
      <c r="K25" s="130"/>
      <c r="L25" s="130"/>
      <c r="M25" s="130"/>
      <c r="N25" s="78">
        <v>4</v>
      </c>
      <c r="O25" s="72">
        <v>1</v>
      </c>
      <c r="P25" s="72">
        <v>1</v>
      </c>
      <c r="Q25" s="72">
        <v>1</v>
      </c>
      <c r="R25" s="72">
        <v>1</v>
      </c>
      <c r="S25" s="135">
        <v>1</v>
      </c>
      <c r="T25" s="100">
        <f>AVERAGE(O25:S25)</f>
        <v>1</v>
      </c>
      <c r="U25" s="203"/>
      <c r="V25" s="86"/>
      <c r="AC25" s="117">
        <f t="shared" si="0"/>
        <v>4</v>
      </c>
      <c r="AD25" s="118">
        <f t="shared" si="1"/>
        <v>4</v>
      </c>
    </row>
    <row r="26" spans="1:32" s="1" customFormat="1" ht="17.25" customHeight="1">
      <c r="A26" s="222" t="s">
        <v>47</v>
      </c>
      <c r="B26" s="223"/>
      <c r="C26" s="223"/>
      <c r="D26" s="223"/>
      <c r="E26" s="223"/>
      <c r="F26" s="223"/>
      <c r="G26" s="223"/>
      <c r="H26" s="223"/>
      <c r="I26" s="223"/>
      <c r="J26" s="223"/>
      <c r="K26" s="223"/>
      <c r="L26" s="223"/>
      <c r="M26" s="223"/>
      <c r="N26" s="223"/>
      <c r="O26" s="223"/>
      <c r="P26" s="223"/>
      <c r="Q26" s="223"/>
      <c r="R26" s="223"/>
      <c r="S26" s="223"/>
      <c r="T26" s="224"/>
      <c r="U26" s="138">
        <v>50</v>
      </c>
      <c r="V26" s="86"/>
      <c r="AC26" s="117" t="b">
        <f t="shared" si="0"/>
        <v>0</v>
      </c>
      <c r="AD26" s="118">
        <f t="shared" si="1"/>
        <v>0</v>
      </c>
    </row>
    <row r="27" spans="1:32" s="1" customFormat="1" ht="17.25" customHeight="1">
      <c r="A27" s="27">
        <v>6</v>
      </c>
      <c r="B27" s="221" t="s">
        <v>48</v>
      </c>
      <c r="C27" s="221"/>
      <c r="D27" s="221"/>
      <c r="E27" s="221"/>
      <c r="F27" s="221"/>
      <c r="G27" s="221"/>
      <c r="H27" s="221"/>
      <c r="I27" s="221"/>
      <c r="J27" s="62" t="s">
        <v>42</v>
      </c>
      <c r="K27" s="70"/>
      <c r="L27" s="70"/>
      <c r="M27" s="70"/>
      <c r="N27" s="71">
        <v>2.5</v>
      </c>
      <c r="O27" s="72">
        <v>1</v>
      </c>
      <c r="P27" s="72">
        <v>1</v>
      </c>
      <c r="Q27" s="72">
        <v>1</v>
      </c>
      <c r="R27" s="72">
        <v>0</v>
      </c>
      <c r="S27" s="135">
        <v>0</v>
      </c>
      <c r="T27" s="139">
        <f t="shared" ref="T27:T46" si="2">AVERAGE(O27:S27)</f>
        <v>0.6</v>
      </c>
      <c r="U27" s="201">
        <f>IF(SUM(N27:N46)&lt;&gt;U26,"Ajuste ponderacion",IF(SUM(AD27:AD46)=0,"",IF(SUM(AC27:AC46)=U26,IF(SUM(N27:N46)=U26,SUM(AD27:AD46),"ajustar ponderacion"),"ajustar ponderacion")))</f>
        <v>47.5</v>
      </c>
      <c r="V27" s="86"/>
      <c r="AC27" s="117">
        <f t="shared" si="0"/>
        <v>2.5</v>
      </c>
      <c r="AD27" s="118">
        <f t="shared" si="1"/>
        <v>1.5</v>
      </c>
    </row>
    <row r="28" spans="1:32" s="1" customFormat="1" ht="17.25" customHeight="1">
      <c r="A28" s="28">
        <v>7</v>
      </c>
      <c r="B28" s="196" t="s">
        <v>49</v>
      </c>
      <c r="C28" s="196"/>
      <c r="D28" s="196"/>
      <c r="E28" s="196"/>
      <c r="F28" s="196"/>
      <c r="G28" s="196"/>
      <c r="H28" s="196"/>
      <c r="I28" s="196"/>
      <c r="J28" s="62" t="s">
        <v>42</v>
      </c>
      <c r="K28" s="73"/>
      <c r="L28" s="73"/>
      <c r="M28" s="73"/>
      <c r="N28" s="71">
        <v>2.5</v>
      </c>
      <c r="O28" s="72">
        <v>1</v>
      </c>
      <c r="P28" s="72">
        <v>0</v>
      </c>
      <c r="Q28" s="72">
        <v>0</v>
      </c>
      <c r="R28" s="72">
        <v>0</v>
      </c>
      <c r="S28" s="135">
        <v>1</v>
      </c>
      <c r="T28" s="140">
        <f t="shared" si="2"/>
        <v>0.4</v>
      </c>
      <c r="U28" s="202"/>
      <c r="V28" s="86"/>
      <c r="AC28" s="117">
        <f t="shared" si="0"/>
        <v>2.5</v>
      </c>
      <c r="AD28" s="118">
        <f t="shared" si="1"/>
        <v>1</v>
      </c>
    </row>
    <row r="29" spans="1:32" s="1" customFormat="1" ht="36.75" customHeight="1">
      <c r="A29" s="28">
        <v>8</v>
      </c>
      <c r="B29" s="196" t="s">
        <v>50</v>
      </c>
      <c r="C29" s="196"/>
      <c r="D29" s="196"/>
      <c r="E29" s="196"/>
      <c r="F29" s="196"/>
      <c r="G29" s="196"/>
      <c r="H29" s="196"/>
      <c r="I29" s="196"/>
      <c r="J29" s="62" t="s">
        <v>42</v>
      </c>
      <c r="K29" s="73"/>
      <c r="L29" s="62"/>
      <c r="M29" s="73"/>
      <c r="N29" s="71">
        <v>2.5</v>
      </c>
      <c r="O29" s="72">
        <v>1</v>
      </c>
      <c r="P29" s="72">
        <v>1</v>
      </c>
      <c r="Q29" s="72">
        <v>1</v>
      </c>
      <c r="R29" s="72">
        <v>1</v>
      </c>
      <c r="S29" s="135">
        <v>1</v>
      </c>
      <c r="T29" s="140">
        <f t="shared" si="2"/>
        <v>1</v>
      </c>
      <c r="U29" s="202"/>
      <c r="V29" s="86"/>
      <c r="AC29" s="117">
        <f t="shared" si="0"/>
        <v>2.5</v>
      </c>
      <c r="AD29" s="118">
        <f t="shared" si="1"/>
        <v>2.5</v>
      </c>
    </row>
    <row r="30" spans="1:32" s="1" customFormat="1" ht="28" customHeight="1">
      <c r="A30" s="28">
        <v>9</v>
      </c>
      <c r="B30" s="196" t="s">
        <v>51</v>
      </c>
      <c r="C30" s="196"/>
      <c r="D30" s="196"/>
      <c r="E30" s="196"/>
      <c r="F30" s="196"/>
      <c r="G30" s="196"/>
      <c r="H30" s="196"/>
      <c r="I30" s="196"/>
      <c r="J30" s="62" t="s">
        <v>42</v>
      </c>
      <c r="K30" s="73"/>
      <c r="L30" s="73"/>
      <c r="M30" s="73"/>
      <c r="N30" s="71">
        <v>2.5</v>
      </c>
      <c r="O30" s="72">
        <v>1</v>
      </c>
      <c r="P30" s="72">
        <v>1</v>
      </c>
      <c r="Q30" s="72">
        <v>1</v>
      </c>
      <c r="R30" s="72">
        <v>1</v>
      </c>
      <c r="S30" s="135">
        <v>1</v>
      </c>
      <c r="T30" s="140">
        <f t="shared" si="2"/>
        <v>1</v>
      </c>
      <c r="U30" s="202"/>
      <c r="V30" s="86"/>
      <c r="AC30" s="117">
        <f t="shared" si="0"/>
        <v>2.5</v>
      </c>
      <c r="AD30" s="118">
        <f t="shared" si="1"/>
        <v>2.5</v>
      </c>
    </row>
    <row r="31" spans="1:32" s="1" customFormat="1" ht="17.25" customHeight="1">
      <c r="A31" s="28">
        <v>10</v>
      </c>
      <c r="B31" s="196" t="s">
        <v>52</v>
      </c>
      <c r="C31" s="196"/>
      <c r="D31" s="196"/>
      <c r="E31" s="196"/>
      <c r="F31" s="196"/>
      <c r="G31" s="196"/>
      <c r="H31" s="196"/>
      <c r="I31" s="196"/>
      <c r="J31" s="62" t="s">
        <v>42</v>
      </c>
      <c r="K31" s="73"/>
      <c r="L31" s="62"/>
      <c r="M31" s="73"/>
      <c r="N31" s="71">
        <v>2.5</v>
      </c>
      <c r="O31" s="72">
        <v>1</v>
      </c>
      <c r="P31" s="72">
        <v>1</v>
      </c>
      <c r="Q31" s="72">
        <v>1</v>
      </c>
      <c r="R31" s="72">
        <v>1</v>
      </c>
      <c r="S31" s="135">
        <v>1</v>
      </c>
      <c r="T31" s="140">
        <f t="shared" si="2"/>
        <v>1</v>
      </c>
      <c r="U31" s="202"/>
      <c r="V31" s="86"/>
      <c r="AC31" s="117">
        <f t="shared" si="0"/>
        <v>2.5</v>
      </c>
      <c r="AD31" s="118">
        <f t="shared" si="1"/>
        <v>2.5</v>
      </c>
    </row>
    <row r="32" spans="1:32" s="1" customFormat="1" ht="17.25" customHeight="1">
      <c r="A32" s="28">
        <v>11</v>
      </c>
      <c r="B32" s="196" t="s">
        <v>53</v>
      </c>
      <c r="C32" s="196"/>
      <c r="D32" s="196"/>
      <c r="E32" s="196"/>
      <c r="F32" s="196"/>
      <c r="G32" s="196"/>
      <c r="H32" s="196"/>
      <c r="I32" s="196"/>
      <c r="J32" s="62" t="s">
        <v>42</v>
      </c>
      <c r="K32" s="62"/>
      <c r="L32" s="73"/>
      <c r="M32" s="73"/>
      <c r="N32" s="71">
        <v>2.5</v>
      </c>
      <c r="O32" s="72">
        <v>1</v>
      </c>
      <c r="P32" s="72">
        <v>1</v>
      </c>
      <c r="Q32" s="72">
        <v>1</v>
      </c>
      <c r="R32" s="72">
        <v>1</v>
      </c>
      <c r="S32" s="135">
        <v>1</v>
      </c>
      <c r="T32" s="140">
        <f t="shared" si="2"/>
        <v>1</v>
      </c>
      <c r="U32" s="202"/>
      <c r="V32" s="86"/>
      <c r="AC32" s="117">
        <f t="shared" si="0"/>
        <v>2.5</v>
      </c>
      <c r="AD32" s="118">
        <f t="shared" si="1"/>
        <v>2.5</v>
      </c>
    </row>
    <row r="33" spans="1:30" s="1" customFormat="1" ht="17.25" customHeight="1">
      <c r="A33" s="28">
        <v>12</v>
      </c>
      <c r="B33" s="196" t="s">
        <v>54</v>
      </c>
      <c r="C33" s="196"/>
      <c r="D33" s="196"/>
      <c r="E33" s="196"/>
      <c r="F33" s="196"/>
      <c r="G33" s="196"/>
      <c r="H33" s="196"/>
      <c r="I33" s="196"/>
      <c r="J33" s="62" t="s">
        <v>42</v>
      </c>
      <c r="K33" s="62"/>
      <c r="L33" s="73"/>
      <c r="M33" s="73"/>
      <c r="N33" s="71">
        <v>2.5</v>
      </c>
      <c r="O33" s="72">
        <v>1</v>
      </c>
      <c r="P33" s="72">
        <v>1</v>
      </c>
      <c r="Q33" s="72">
        <v>1</v>
      </c>
      <c r="R33" s="72">
        <v>1</v>
      </c>
      <c r="S33" s="135">
        <v>1</v>
      </c>
      <c r="T33" s="140">
        <f t="shared" si="2"/>
        <v>1</v>
      </c>
      <c r="U33" s="202"/>
      <c r="V33" s="86"/>
      <c r="AC33" s="117">
        <f t="shared" si="0"/>
        <v>2.5</v>
      </c>
      <c r="AD33" s="118">
        <f t="shared" si="1"/>
        <v>2.5</v>
      </c>
    </row>
    <row r="34" spans="1:30" s="1" customFormat="1" ht="17.25" customHeight="1">
      <c r="A34" s="28">
        <v>13</v>
      </c>
      <c r="B34" s="196" t="s">
        <v>55</v>
      </c>
      <c r="C34" s="196"/>
      <c r="D34" s="196"/>
      <c r="E34" s="196"/>
      <c r="F34" s="196"/>
      <c r="G34" s="196"/>
      <c r="H34" s="196"/>
      <c r="I34" s="196"/>
      <c r="J34" s="62" t="s">
        <v>42</v>
      </c>
      <c r="K34" s="62"/>
      <c r="L34" s="73"/>
      <c r="M34" s="73"/>
      <c r="N34" s="71">
        <v>2.5</v>
      </c>
      <c r="O34" s="72">
        <v>1</v>
      </c>
      <c r="P34" s="72">
        <v>1</v>
      </c>
      <c r="Q34" s="72">
        <v>1</v>
      </c>
      <c r="R34" s="72">
        <v>1</v>
      </c>
      <c r="S34" s="135">
        <v>1</v>
      </c>
      <c r="T34" s="140">
        <f t="shared" si="2"/>
        <v>1</v>
      </c>
      <c r="U34" s="202"/>
      <c r="V34" s="86"/>
      <c r="AC34" s="117">
        <f t="shared" si="0"/>
        <v>2.5</v>
      </c>
      <c r="AD34" s="118">
        <f t="shared" si="1"/>
        <v>2.5</v>
      </c>
    </row>
    <row r="35" spans="1:30" s="1" customFormat="1" ht="17.25" customHeight="1">
      <c r="A35" s="28">
        <v>14</v>
      </c>
      <c r="B35" s="196" t="s">
        <v>56</v>
      </c>
      <c r="C35" s="196"/>
      <c r="D35" s="196"/>
      <c r="E35" s="196"/>
      <c r="F35" s="196"/>
      <c r="G35" s="196"/>
      <c r="H35" s="196"/>
      <c r="I35" s="196"/>
      <c r="J35" s="62" t="s">
        <v>42</v>
      </c>
      <c r="K35" s="73"/>
      <c r="L35" s="73"/>
      <c r="M35" s="73"/>
      <c r="N35" s="71">
        <v>2.5</v>
      </c>
      <c r="O35" s="72">
        <v>1</v>
      </c>
      <c r="P35" s="72">
        <v>1</v>
      </c>
      <c r="Q35" s="72">
        <v>1</v>
      </c>
      <c r="R35" s="72">
        <v>1</v>
      </c>
      <c r="S35" s="135">
        <v>1</v>
      </c>
      <c r="T35" s="140">
        <f t="shared" si="2"/>
        <v>1</v>
      </c>
      <c r="U35" s="202"/>
      <c r="V35" s="86"/>
      <c r="AC35" s="117">
        <f t="shared" si="0"/>
        <v>2.5</v>
      </c>
      <c r="AD35" s="118">
        <f t="shared" si="1"/>
        <v>2.5</v>
      </c>
    </row>
    <row r="36" spans="1:30" s="1" customFormat="1" ht="17.25" customHeight="1">
      <c r="A36" s="28">
        <v>15</v>
      </c>
      <c r="B36" s="196" t="s">
        <v>57</v>
      </c>
      <c r="C36" s="196"/>
      <c r="D36" s="196"/>
      <c r="E36" s="196"/>
      <c r="F36" s="196"/>
      <c r="G36" s="196"/>
      <c r="H36" s="196"/>
      <c r="I36" s="196"/>
      <c r="J36" s="62" t="s">
        <v>42</v>
      </c>
      <c r="K36" s="73"/>
      <c r="L36" s="73"/>
      <c r="M36" s="73"/>
      <c r="N36" s="71">
        <v>2.5</v>
      </c>
      <c r="O36" s="72">
        <v>1</v>
      </c>
      <c r="P36" s="72">
        <v>1</v>
      </c>
      <c r="Q36" s="72">
        <v>1</v>
      </c>
      <c r="R36" s="72">
        <v>1</v>
      </c>
      <c r="S36" s="135">
        <v>1</v>
      </c>
      <c r="T36" s="140">
        <f t="shared" si="2"/>
        <v>1</v>
      </c>
      <c r="U36" s="202"/>
      <c r="V36" s="86"/>
      <c r="AC36" s="117">
        <f t="shared" si="0"/>
        <v>2.5</v>
      </c>
      <c r="AD36" s="118">
        <f t="shared" si="1"/>
        <v>2.5</v>
      </c>
    </row>
    <row r="37" spans="1:30" ht="17.25" customHeight="1">
      <c r="A37" s="29">
        <v>16</v>
      </c>
      <c r="B37" s="196" t="s">
        <v>58</v>
      </c>
      <c r="C37" s="196"/>
      <c r="D37" s="196"/>
      <c r="E37" s="196"/>
      <c r="F37" s="196"/>
      <c r="G37" s="196"/>
      <c r="H37" s="196"/>
      <c r="I37" s="196"/>
      <c r="J37" s="62" t="s">
        <v>42</v>
      </c>
      <c r="K37" s="74"/>
      <c r="L37" s="75"/>
      <c r="M37" s="76"/>
      <c r="N37" s="71">
        <v>2.5</v>
      </c>
      <c r="O37" s="72">
        <v>1</v>
      </c>
      <c r="P37" s="72">
        <v>1</v>
      </c>
      <c r="Q37" s="72">
        <v>1</v>
      </c>
      <c r="R37" s="72">
        <v>1</v>
      </c>
      <c r="S37" s="135">
        <v>1</v>
      </c>
      <c r="T37" s="140">
        <f t="shared" si="2"/>
        <v>1</v>
      </c>
      <c r="U37" s="202"/>
      <c r="V37" s="105"/>
      <c r="AC37" s="117">
        <f t="shared" si="0"/>
        <v>2.5</v>
      </c>
      <c r="AD37" s="118">
        <f t="shared" si="1"/>
        <v>2.5</v>
      </c>
    </row>
    <row r="38" spans="1:30" ht="17.25" customHeight="1">
      <c r="A38" s="29">
        <v>17</v>
      </c>
      <c r="B38" s="195" t="s">
        <v>59</v>
      </c>
      <c r="C38" s="195"/>
      <c r="D38" s="195"/>
      <c r="E38" s="195"/>
      <c r="F38" s="195"/>
      <c r="G38" s="195"/>
      <c r="H38" s="195"/>
      <c r="I38" s="195"/>
      <c r="J38" s="62" t="s">
        <v>42</v>
      </c>
      <c r="K38" s="75"/>
      <c r="L38" s="75"/>
      <c r="M38" s="76"/>
      <c r="N38" s="71">
        <v>2.5</v>
      </c>
      <c r="O38" s="72">
        <v>1</v>
      </c>
      <c r="P38" s="72">
        <v>1</v>
      </c>
      <c r="Q38" s="72">
        <v>1</v>
      </c>
      <c r="R38" s="72">
        <v>1</v>
      </c>
      <c r="S38" s="135">
        <v>1</v>
      </c>
      <c r="T38" s="140">
        <f t="shared" si="2"/>
        <v>1</v>
      </c>
      <c r="U38" s="202"/>
      <c r="V38" s="105"/>
      <c r="AC38" s="117">
        <f t="shared" si="0"/>
        <v>2.5</v>
      </c>
      <c r="AD38" s="118">
        <f t="shared" si="1"/>
        <v>2.5</v>
      </c>
    </row>
    <row r="39" spans="1:30" ht="17.25" customHeight="1">
      <c r="A39" s="29">
        <v>18</v>
      </c>
      <c r="B39" s="195" t="s">
        <v>60</v>
      </c>
      <c r="C39" s="195"/>
      <c r="D39" s="195"/>
      <c r="E39" s="195"/>
      <c r="F39" s="195"/>
      <c r="G39" s="195"/>
      <c r="H39" s="195"/>
      <c r="I39" s="195"/>
      <c r="J39" s="62" t="s">
        <v>42</v>
      </c>
      <c r="K39" s="75"/>
      <c r="L39" s="62"/>
      <c r="M39" s="75"/>
      <c r="N39" s="71">
        <v>2.5</v>
      </c>
      <c r="O39" s="72">
        <v>1</v>
      </c>
      <c r="P39" s="72">
        <v>1</v>
      </c>
      <c r="Q39" s="72">
        <v>1</v>
      </c>
      <c r="R39" s="72">
        <v>1</v>
      </c>
      <c r="S39" s="135">
        <v>1</v>
      </c>
      <c r="T39" s="140">
        <f t="shared" si="2"/>
        <v>1</v>
      </c>
      <c r="U39" s="202"/>
      <c r="V39" s="105"/>
      <c r="AC39" s="117">
        <f t="shared" si="0"/>
        <v>2.5</v>
      </c>
      <c r="AD39" s="118">
        <f t="shared" si="1"/>
        <v>2.5</v>
      </c>
    </row>
    <row r="40" spans="1:30" ht="17.25" customHeight="1">
      <c r="A40" s="29">
        <v>19</v>
      </c>
      <c r="B40" s="195" t="s">
        <v>61</v>
      </c>
      <c r="C40" s="195"/>
      <c r="D40" s="195"/>
      <c r="E40" s="195"/>
      <c r="F40" s="195"/>
      <c r="G40" s="195"/>
      <c r="H40" s="195"/>
      <c r="I40" s="195"/>
      <c r="J40" s="62" t="s">
        <v>42</v>
      </c>
      <c r="K40" s="75"/>
      <c r="L40" s="75"/>
      <c r="M40" s="75"/>
      <c r="N40" s="71">
        <v>2.5</v>
      </c>
      <c r="O40" s="72">
        <v>1</v>
      </c>
      <c r="P40" s="72">
        <v>1</v>
      </c>
      <c r="Q40" s="72">
        <v>1</v>
      </c>
      <c r="R40" s="72">
        <v>1</v>
      </c>
      <c r="S40" s="135">
        <v>1</v>
      </c>
      <c r="T40" s="140">
        <f t="shared" si="2"/>
        <v>1</v>
      </c>
      <c r="U40" s="202"/>
      <c r="V40" s="105"/>
      <c r="AC40" s="117">
        <f t="shared" si="0"/>
        <v>2.5</v>
      </c>
      <c r="AD40" s="118">
        <f t="shared" si="1"/>
        <v>2.5</v>
      </c>
    </row>
    <row r="41" spans="1:30" ht="17.25" customHeight="1">
      <c r="A41" s="29">
        <v>20</v>
      </c>
      <c r="B41" s="195" t="s">
        <v>62</v>
      </c>
      <c r="C41" s="195"/>
      <c r="D41" s="195"/>
      <c r="E41" s="195"/>
      <c r="F41" s="195"/>
      <c r="G41" s="195"/>
      <c r="H41" s="195"/>
      <c r="I41" s="195"/>
      <c r="J41" s="62" t="s">
        <v>42</v>
      </c>
      <c r="K41" s="75"/>
      <c r="L41" s="75"/>
      <c r="M41" s="75"/>
      <c r="N41" s="71">
        <v>2.5</v>
      </c>
      <c r="O41" s="72">
        <v>1</v>
      </c>
      <c r="P41" s="72">
        <v>1</v>
      </c>
      <c r="Q41" s="72">
        <v>1</v>
      </c>
      <c r="R41" s="72">
        <v>1</v>
      </c>
      <c r="S41" s="135">
        <v>1</v>
      </c>
      <c r="T41" s="140">
        <f t="shared" si="2"/>
        <v>1</v>
      </c>
      <c r="U41" s="202"/>
      <c r="V41" s="105"/>
      <c r="AC41" s="117">
        <f t="shared" si="0"/>
        <v>2.5</v>
      </c>
      <c r="AD41" s="118">
        <f t="shared" si="1"/>
        <v>2.5</v>
      </c>
    </row>
    <row r="42" spans="1:30" ht="17.25" customHeight="1">
      <c r="A42" s="29">
        <v>21</v>
      </c>
      <c r="B42" s="195" t="s">
        <v>63</v>
      </c>
      <c r="C42" s="195"/>
      <c r="D42" s="195"/>
      <c r="E42" s="195"/>
      <c r="F42" s="195"/>
      <c r="G42" s="195"/>
      <c r="H42" s="195"/>
      <c r="I42" s="195"/>
      <c r="J42" s="62" t="s">
        <v>42</v>
      </c>
      <c r="K42" s="62"/>
      <c r="L42" s="75"/>
      <c r="M42" s="75"/>
      <c r="N42" s="71">
        <v>2.5</v>
      </c>
      <c r="O42" s="72">
        <v>1</v>
      </c>
      <c r="P42" s="72">
        <v>1</v>
      </c>
      <c r="Q42" s="72">
        <v>1</v>
      </c>
      <c r="R42" s="72">
        <v>1</v>
      </c>
      <c r="S42" s="135">
        <v>1</v>
      </c>
      <c r="T42" s="140">
        <f t="shared" si="2"/>
        <v>1</v>
      </c>
      <c r="U42" s="202"/>
      <c r="V42" s="105"/>
      <c r="AC42" s="117">
        <f t="shared" si="0"/>
        <v>2.5</v>
      </c>
      <c r="AD42" s="118">
        <f t="shared" si="1"/>
        <v>2.5</v>
      </c>
    </row>
    <row r="43" spans="1:30" ht="17.25" customHeight="1">
      <c r="A43" s="29">
        <v>22</v>
      </c>
      <c r="B43" s="195" t="s">
        <v>64</v>
      </c>
      <c r="C43" s="195"/>
      <c r="D43" s="195"/>
      <c r="E43" s="195"/>
      <c r="F43" s="195"/>
      <c r="G43" s="195"/>
      <c r="H43" s="195"/>
      <c r="I43" s="195"/>
      <c r="J43" s="62" t="s">
        <v>42</v>
      </c>
      <c r="K43" s="75"/>
      <c r="L43" s="74"/>
      <c r="M43" s="75"/>
      <c r="N43" s="71">
        <v>2.5</v>
      </c>
      <c r="O43" s="72">
        <v>1</v>
      </c>
      <c r="P43" s="72">
        <v>1</v>
      </c>
      <c r="Q43" s="72">
        <v>1</v>
      </c>
      <c r="R43" s="72">
        <v>1</v>
      </c>
      <c r="S43" s="135">
        <v>1</v>
      </c>
      <c r="T43" s="140">
        <f t="shared" si="2"/>
        <v>1</v>
      </c>
      <c r="U43" s="202"/>
      <c r="V43" s="105"/>
      <c r="AC43" s="117">
        <f t="shared" si="0"/>
        <v>2.5</v>
      </c>
      <c r="AD43" s="118">
        <f t="shared" si="1"/>
        <v>2.5</v>
      </c>
    </row>
    <row r="44" spans="1:30" ht="17.25" customHeight="1">
      <c r="A44" s="29">
        <v>23</v>
      </c>
      <c r="B44" s="195" t="s">
        <v>65</v>
      </c>
      <c r="C44" s="195"/>
      <c r="D44" s="195"/>
      <c r="E44" s="195"/>
      <c r="F44" s="195"/>
      <c r="G44" s="195"/>
      <c r="H44" s="195"/>
      <c r="I44" s="195"/>
      <c r="J44" s="62" t="s">
        <v>42</v>
      </c>
      <c r="K44" s="75"/>
      <c r="L44" s="75"/>
      <c r="M44" s="75"/>
      <c r="N44" s="71">
        <v>2.5</v>
      </c>
      <c r="O44" s="72">
        <v>1</v>
      </c>
      <c r="P44" s="72">
        <v>1</v>
      </c>
      <c r="Q44" s="72">
        <v>1</v>
      </c>
      <c r="R44" s="72">
        <v>1</v>
      </c>
      <c r="S44" s="135">
        <v>1</v>
      </c>
      <c r="T44" s="140">
        <f t="shared" si="2"/>
        <v>1</v>
      </c>
      <c r="U44" s="202"/>
      <c r="V44" s="105"/>
      <c r="AC44" s="117">
        <f t="shared" si="0"/>
        <v>2.5</v>
      </c>
      <c r="AD44" s="118">
        <f t="shared" si="1"/>
        <v>2.5</v>
      </c>
    </row>
    <row r="45" spans="1:30" ht="31" customHeight="1">
      <c r="A45" s="29">
        <v>24</v>
      </c>
      <c r="B45" s="196" t="s">
        <v>66</v>
      </c>
      <c r="C45" s="196"/>
      <c r="D45" s="196"/>
      <c r="E45" s="196"/>
      <c r="F45" s="196"/>
      <c r="G45" s="196"/>
      <c r="H45" s="196"/>
      <c r="I45" s="196"/>
      <c r="J45" s="75" t="s">
        <v>42</v>
      </c>
      <c r="K45" s="62"/>
      <c r="L45" s="75"/>
      <c r="M45" s="75"/>
      <c r="N45" s="71">
        <v>2.5</v>
      </c>
      <c r="O45" s="72">
        <v>1</v>
      </c>
      <c r="P45" s="72">
        <v>1</v>
      </c>
      <c r="Q45" s="72">
        <v>1</v>
      </c>
      <c r="R45" s="72">
        <v>1</v>
      </c>
      <c r="S45" s="135">
        <v>1</v>
      </c>
      <c r="T45" s="140">
        <f t="shared" si="2"/>
        <v>1</v>
      </c>
      <c r="U45" s="202"/>
      <c r="V45" s="105"/>
      <c r="AC45" s="117">
        <f t="shared" si="0"/>
        <v>2.5</v>
      </c>
      <c r="AD45" s="118">
        <f t="shared" si="1"/>
        <v>2.5</v>
      </c>
    </row>
    <row r="46" spans="1:30" ht="24.75" customHeight="1">
      <c r="A46" s="30">
        <v>25</v>
      </c>
      <c r="B46" s="197" t="s">
        <v>67</v>
      </c>
      <c r="C46" s="197"/>
      <c r="D46" s="197"/>
      <c r="E46" s="197"/>
      <c r="F46" s="197"/>
      <c r="G46" s="197"/>
      <c r="H46" s="197"/>
      <c r="I46" s="197"/>
      <c r="J46" s="62" t="s">
        <v>42</v>
      </c>
      <c r="K46" s="77"/>
      <c r="L46" s="77"/>
      <c r="M46" s="77"/>
      <c r="N46" s="71">
        <v>2.5</v>
      </c>
      <c r="O46" s="72">
        <v>1</v>
      </c>
      <c r="P46" s="72">
        <v>1</v>
      </c>
      <c r="Q46" s="72">
        <v>1</v>
      </c>
      <c r="R46" s="72">
        <v>1</v>
      </c>
      <c r="S46" s="135">
        <v>1</v>
      </c>
      <c r="T46" s="141">
        <f t="shared" si="2"/>
        <v>1</v>
      </c>
      <c r="U46" s="204"/>
      <c r="V46" s="105"/>
      <c r="AC46" s="117">
        <f t="shared" si="0"/>
        <v>2.5</v>
      </c>
      <c r="AD46" s="118">
        <f t="shared" si="1"/>
        <v>2.5</v>
      </c>
    </row>
    <row r="47" spans="1:30" ht="24.75" customHeight="1">
      <c r="A47" s="219" t="s">
        <v>68</v>
      </c>
      <c r="B47" s="220"/>
      <c r="C47" s="220"/>
      <c r="D47" s="220"/>
      <c r="E47" s="220"/>
      <c r="F47" s="220"/>
      <c r="G47" s="220"/>
      <c r="H47" s="220"/>
      <c r="I47" s="220"/>
      <c r="J47" s="220"/>
      <c r="K47" s="220"/>
      <c r="L47" s="220"/>
      <c r="M47" s="220"/>
      <c r="N47" s="220"/>
      <c r="O47" s="220"/>
      <c r="P47" s="220"/>
      <c r="Q47" s="220"/>
      <c r="R47" s="220"/>
      <c r="S47" s="220"/>
      <c r="T47" s="220"/>
      <c r="U47" s="102">
        <v>20</v>
      </c>
      <c r="V47" s="105"/>
      <c r="AC47" s="117" t="b">
        <f t="shared" si="0"/>
        <v>0</v>
      </c>
      <c r="AD47" s="118">
        <f t="shared" si="1"/>
        <v>0</v>
      </c>
    </row>
    <row r="48" spans="1:30" ht="51" customHeight="1">
      <c r="A48" s="31">
        <v>26</v>
      </c>
      <c r="B48" s="221" t="s">
        <v>69</v>
      </c>
      <c r="C48" s="221"/>
      <c r="D48" s="221"/>
      <c r="E48" s="221"/>
      <c r="F48" s="221"/>
      <c r="G48" s="221"/>
      <c r="H48" s="221"/>
      <c r="I48" s="221"/>
      <c r="J48" s="62" t="s">
        <v>42</v>
      </c>
      <c r="K48" s="62"/>
      <c r="L48" s="62"/>
      <c r="M48" s="62"/>
      <c r="N48" s="78">
        <v>4</v>
      </c>
      <c r="O48" s="72">
        <v>1</v>
      </c>
      <c r="P48" s="72">
        <v>1</v>
      </c>
      <c r="Q48" s="72">
        <v>1</v>
      </c>
      <c r="R48" s="72">
        <v>1</v>
      </c>
      <c r="S48" s="135">
        <v>1</v>
      </c>
      <c r="T48" s="139">
        <f>AVERAGE(O48:S48)</f>
        <v>1</v>
      </c>
      <c r="U48" s="205">
        <f>IF(SUM(N48:N52)&lt;&gt;U47,"AJUSTAR PONDERACION",IF(SUM(AD48:AD52)=0,"",IF(SUM(AC48:AC52)=U47,IF(SUM(N48:N52)=U47,SUM(AD48:AD52),"Ajustar ponderacion"),"Ajustar ponderacion")))</f>
        <v>20</v>
      </c>
      <c r="V48" s="105"/>
      <c r="AC48" s="117">
        <f t="shared" si="0"/>
        <v>4</v>
      </c>
      <c r="AD48" s="118">
        <f t="shared" si="1"/>
        <v>4</v>
      </c>
    </row>
    <row r="49" spans="1:30" ht="46" customHeight="1">
      <c r="A49" s="29">
        <v>27</v>
      </c>
      <c r="B49" s="196" t="s">
        <v>70</v>
      </c>
      <c r="C49" s="196"/>
      <c r="D49" s="196"/>
      <c r="E49" s="196"/>
      <c r="F49" s="196"/>
      <c r="G49" s="196"/>
      <c r="H49" s="196"/>
      <c r="I49" s="196"/>
      <c r="J49" s="75" t="s">
        <v>42</v>
      </c>
      <c r="K49" s="75"/>
      <c r="L49" s="75"/>
      <c r="M49" s="75"/>
      <c r="N49" s="78">
        <v>4</v>
      </c>
      <c r="O49" s="72">
        <v>1</v>
      </c>
      <c r="P49" s="72">
        <v>1</v>
      </c>
      <c r="Q49" s="72">
        <v>1</v>
      </c>
      <c r="R49" s="72">
        <v>1</v>
      </c>
      <c r="S49" s="135">
        <v>1</v>
      </c>
      <c r="T49" s="140">
        <f>AVERAGE(O49:S49)</f>
        <v>1</v>
      </c>
      <c r="U49" s="206"/>
      <c r="V49" s="105"/>
      <c r="AC49" s="117">
        <f t="shared" si="0"/>
        <v>4</v>
      </c>
      <c r="AD49" s="118">
        <f t="shared" si="1"/>
        <v>4</v>
      </c>
    </row>
    <row r="50" spans="1:30" ht="34" customHeight="1">
      <c r="A50" s="29">
        <v>28</v>
      </c>
      <c r="B50" s="196" t="s">
        <v>71</v>
      </c>
      <c r="C50" s="196"/>
      <c r="D50" s="196"/>
      <c r="E50" s="196"/>
      <c r="F50" s="196"/>
      <c r="G50" s="196"/>
      <c r="H50" s="196"/>
      <c r="I50" s="196"/>
      <c r="J50" s="75" t="s">
        <v>42</v>
      </c>
      <c r="K50" s="75"/>
      <c r="L50" s="75"/>
      <c r="M50" s="75"/>
      <c r="N50" s="78">
        <v>4</v>
      </c>
      <c r="O50" s="72">
        <v>1</v>
      </c>
      <c r="P50" s="72">
        <v>1</v>
      </c>
      <c r="Q50" s="72">
        <v>1</v>
      </c>
      <c r="R50" s="72">
        <v>1</v>
      </c>
      <c r="S50" s="135">
        <v>1</v>
      </c>
      <c r="T50" s="140">
        <f>AVERAGE(O50:S50)</f>
        <v>1</v>
      </c>
      <c r="U50" s="206"/>
      <c r="V50" s="105"/>
      <c r="AC50" s="117">
        <f t="shared" si="0"/>
        <v>4</v>
      </c>
      <c r="AD50" s="118">
        <f t="shared" si="1"/>
        <v>4</v>
      </c>
    </row>
    <row r="51" spans="1:30" ht="24.75" customHeight="1">
      <c r="A51" s="29">
        <v>29</v>
      </c>
      <c r="B51" s="196" t="s">
        <v>72</v>
      </c>
      <c r="C51" s="196"/>
      <c r="D51" s="196"/>
      <c r="E51" s="196"/>
      <c r="F51" s="196"/>
      <c r="G51" s="196"/>
      <c r="H51" s="196"/>
      <c r="I51" s="196"/>
      <c r="J51" s="75" t="s">
        <v>42</v>
      </c>
      <c r="K51" s="75"/>
      <c r="L51" s="75"/>
      <c r="M51" s="75"/>
      <c r="N51" s="78">
        <v>4</v>
      </c>
      <c r="O51" s="72">
        <v>1</v>
      </c>
      <c r="P51" s="72">
        <v>1</v>
      </c>
      <c r="Q51" s="72">
        <v>1</v>
      </c>
      <c r="R51" s="72">
        <v>1</v>
      </c>
      <c r="S51" s="135">
        <v>1</v>
      </c>
      <c r="T51" s="140">
        <f>AVERAGE(O51:S51)</f>
        <v>1</v>
      </c>
      <c r="U51" s="206"/>
      <c r="V51" s="105"/>
      <c r="AC51" s="117">
        <f t="shared" si="0"/>
        <v>4</v>
      </c>
      <c r="AD51" s="118">
        <f t="shared" si="1"/>
        <v>4</v>
      </c>
    </row>
    <row r="52" spans="1:30" ht="24.75" customHeight="1">
      <c r="A52" s="30">
        <v>27</v>
      </c>
      <c r="B52" s="197" t="s">
        <v>73</v>
      </c>
      <c r="C52" s="197"/>
      <c r="D52" s="197"/>
      <c r="E52" s="197"/>
      <c r="F52" s="197"/>
      <c r="G52" s="197"/>
      <c r="H52" s="197"/>
      <c r="I52" s="197"/>
      <c r="J52" s="77" t="s">
        <v>42</v>
      </c>
      <c r="K52" s="77"/>
      <c r="L52" s="77"/>
      <c r="M52" s="77"/>
      <c r="N52" s="78">
        <v>4</v>
      </c>
      <c r="O52" s="72">
        <v>1</v>
      </c>
      <c r="P52" s="72">
        <v>1</v>
      </c>
      <c r="Q52" s="72">
        <v>1</v>
      </c>
      <c r="R52" s="72">
        <v>1</v>
      </c>
      <c r="S52" s="135">
        <v>1</v>
      </c>
      <c r="T52" s="141">
        <f>AVERAGE(O52:S52)</f>
        <v>1</v>
      </c>
      <c r="U52" s="206"/>
      <c r="V52" s="105"/>
      <c r="AC52" s="117">
        <f t="shared" si="0"/>
        <v>4</v>
      </c>
      <c r="AD52" s="118">
        <f t="shared" si="1"/>
        <v>4</v>
      </c>
    </row>
    <row r="53" spans="1:30" ht="24.75" customHeight="1">
      <c r="A53" s="211" t="s">
        <v>74</v>
      </c>
      <c r="B53" s="212"/>
      <c r="C53" s="212"/>
      <c r="D53" s="212"/>
      <c r="E53" s="212"/>
      <c r="F53" s="212"/>
      <c r="G53" s="212"/>
      <c r="H53" s="212"/>
      <c r="I53" s="212"/>
      <c r="J53" s="212"/>
      <c r="K53" s="212"/>
      <c r="L53" s="212"/>
      <c r="M53" s="212"/>
      <c r="N53" s="212"/>
      <c r="O53" s="212"/>
      <c r="P53" s="212"/>
      <c r="Q53" s="212"/>
      <c r="R53" s="212"/>
      <c r="S53" s="212"/>
      <c r="T53" s="212"/>
      <c r="U53" s="111">
        <v>10</v>
      </c>
      <c r="V53" s="105"/>
      <c r="AC53" s="117" t="b">
        <f t="shared" si="0"/>
        <v>0</v>
      </c>
      <c r="AD53" s="118">
        <f t="shared" si="1"/>
        <v>0</v>
      </c>
    </row>
    <row r="54" spans="1:30" ht="24.75" customHeight="1">
      <c r="A54" s="33">
        <v>28</v>
      </c>
      <c r="B54" s="213" t="s">
        <v>75</v>
      </c>
      <c r="C54" s="213"/>
      <c r="D54" s="213"/>
      <c r="E54" s="213"/>
      <c r="F54" s="213"/>
      <c r="G54" s="213"/>
      <c r="H54" s="213"/>
      <c r="I54" s="213"/>
      <c r="J54" s="79" t="s">
        <v>42</v>
      </c>
      <c r="K54" s="79"/>
      <c r="L54" s="79"/>
      <c r="M54" s="79"/>
      <c r="N54" s="80">
        <v>10</v>
      </c>
      <c r="O54" s="81">
        <v>1</v>
      </c>
      <c r="P54" s="81">
        <v>1</v>
      </c>
      <c r="Q54" s="81">
        <v>1</v>
      </c>
      <c r="R54" s="81">
        <v>1</v>
      </c>
      <c r="S54" s="142">
        <v>1</v>
      </c>
      <c r="T54" s="143">
        <f>AVERAGE(O54:S54)</f>
        <v>1</v>
      </c>
      <c r="U54" s="109">
        <f>IF(SUM(N54)&lt;&gt;U53,"ajustar ponderacion",IF(SUM(AD54)=0,"",IF(SUM(AC54)=U53,IF(SUM(N54)=U53,SUM(U53),"ajustar ponderacion"),"ajustar ponderacion")))</f>
        <v>10</v>
      </c>
      <c r="V54" s="105"/>
      <c r="AC54" s="117">
        <f t="shared" si="0"/>
        <v>10</v>
      </c>
      <c r="AD54" s="119">
        <f t="shared" si="1"/>
        <v>10</v>
      </c>
    </row>
    <row r="55" spans="1:30" ht="17.25" customHeight="1">
      <c r="A55" s="214" t="s">
        <v>76</v>
      </c>
      <c r="B55" s="266"/>
      <c r="C55" s="266"/>
      <c r="D55" s="266"/>
      <c r="E55" s="266"/>
      <c r="F55" s="266"/>
      <c r="G55" s="266"/>
      <c r="H55" s="266"/>
      <c r="I55" s="266"/>
      <c r="J55" s="266"/>
      <c r="K55" s="266"/>
      <c r="L55" s="266"/>
      <c r="M55" s="266"/>
      <c r="N55" s="266"/>
      <c r="O55" s="266"/>
      <c r="P55" s="266"/>
      <c r="Q55" s="266"/>
      <c r="R55" s="266"/>
      <c r="S55" s="266"/>
      <c r="T55" s="267"/>
      <c r="U55" s="144">
        <f>IFERROR(U21+U27+U48+U54,"revise el formulario")</f>
        <v>97.5</v>
      </c>
      <c r="V55" s="105"/>
      <c r="AC55" s="117"/>
      <c r="AD55" s="118"/>
    </row>
    <row r="56" spans="1:30" ht="17.25" customHeight="1">
      <c r="A56" s="268">
        <v>29</v>
      </c>
      <c r="B56" s="249" t="s">
        <v>77</v>
      </c>
      <c r="C56" s="250"/>
      <c r="D56" s="254"/>
      <c r="E56" s="255"/>
      <c r="F56" s="255"/>
      <c r="G56" s="255"/>
      <c r="H56" s="255"/>
      <c r="I56" s="255"/>
      <c r="J56" s="255"/>
      <c r="K56" s="255"/>
      <c r="L56" s="255"/>
      <c r="M56" s="255"/>
      <c r="N56" s="255"/>
      <c r="O56" s="255"/>
      <c r="P56" s="255"/>
      <c r="Q56" s="255"/>
      <c r="R56" s="255"/>
      <c r="S56" s="255"/>
      <c r="T56" s="255"/>
      <c r="U56" s="256"/>
      <c r="V56" s="105"/>
      <c r="AC56" s="120"/>
      <c r="AD56" s="118"/>
    </row>
    <row r="57" spans="1:30" s="2" customFormat="1" ht="58" customHeight="1">
      <c r="A57" s="269"/>
      <c r="B57" s="251"/>
      <c r="C57" s="252"/>
      <c r="D57" s="257"/>
      <c r="E57" s="258"/>
      <c r="F57" s="258"/>
      <c r="G57" s="258"/>
      <c r="H57" s="258"/>
      <c r="I57" s="258"/>
      <c r="J57" s="258"/>
      <c r="K57" s="258"/>
      <c r="L57" s="258"/>
      <c r="M57" s="258"/>
      <c r="N57" s="258"/>
      <c r="O57" s="258"/>
      <c r="P57" s="258"/>
      <c r="Q57" s="258"/>
      <c r="R57" s="258"/>
      <c r="S57" s="258"/>
      <c r="T57" s="258"/>
      <c r="U57" s="259"/>
      <c r="V57" s="115"/>
      <c r="AC57" s="116"/>
      <c r="AD57" s="118"/>
    </row>
    <row r="58" spans="1:30" s="2" customFormat="1">
      <c r="A58" s="34" t="s">
        <v>79</v>
      </c>
      <c r="B58" s="35"/>
      <c r="C58" s="35"/>
      <c r="D58" s="35"/>
      <c r="E58" s="35"/>
      <c r="F58" s="35"/>
      <c r="G58" s="35"/>
      <c r="H58" s="35"/>
      <c r="I58" s="35"/>
      <c r="J58" s="35"/>
      <c r="K58" s="35"/>
      <c r="L58" s="35"/>
      <c r="M58" s="35"/>
      <c r="N58" s="82"/>
      <c r="O58" s="82"/>
      <c r="P58" s="82"/>
      <c r="Q58" s="82"/>
      <c r="R58" s="82"/>
      <c r="S58" s="82"/>
      <c r="T58" s="82"/>
      <c r="U58" s="115"/>
      <c r="V58" s="115"/>
      <c r="AC58" s="116"/>
      <c r="AD58" s="118"/>
    </row>
    <row r="59" spans="1:30">
      <c r="A59" s="36"/>
      <c r="B59" s="37"/>
      <c r="C59" s="37"/>
      <c r="D59" s="37"/>
      <c r="E59" s="37"/>
      <c r="F59" s="37"/>
      <c r="G59" s="37"/>
      <c r="H59" s="37"/>
      <c r="I59" s="37"/>
      <c r="J59" s="37"/>
      <c r="K59" s="37"/>
      <c r="L59" s="37"/>
      <c r="M59" s="37"/>
      <c r="N59" s="41"/>
      <c r="O59" s="41"/>
      <c r="P59" s="41"/>
      <c r="Q59" s="41"/>
      <c r="R59" s="41"/>
      <c r="S59" s="41"/>
      <c r="T59" s="41"/>
      <c r="U59" s="105"/>
      <c r="V59" s="105"/>
      <c r="AC59" s="118"/>
      <c r="AD59" s="118"/>
    </row>
    <row r="60" spans="1:30">
      <c r="A60" s="36"/>
      <c r="B60" s="37"/>
      <c r="C60" s="37"/>
      <c r="D60" s="37"/>
      <c r="E60" s="37"/>
      <c r="F60" s="37"/>
      <c r="G60" s="37"/>
      <c r="H60" s="37"/>
      <c r="I60" s="37"/>
      <c r="J60" s="37"/>
      <c r="K60" s="37"/>
      <c r="L60" s="37"/>
      <c r="M60" s="37"/>
      <c r="N60" s="41"/>
      <c r="O60" s="41"/>
      <c r="P60" s="41"/>
      <c r="Q60" s="41"/>
      <c r="R60" s="41"/>
      <c r="S60" s="41"/>
      <c r="T60" s="41"/>
      <c r="U60" s="105"/>
      <c r="V60" s="105"/>
    </row>
    <row r="61" spans="1:30">
      <c r="A61" s="36"/>
      <c r="B61" s="37"/>
      <c r="C61" s="37"/>
      <c r="D61" s="37"/>
      <c r="E61" s="37"/>
      <c r="F61" s="37"/>
      <c r="G61" s="37"/>
      <c r="H61" s="37"/>
      <c r="I61" s="37"/>
      <c r="J61" s="37"/>
      <c r="K61" s="37"/>
      <c r="L61" s="37"/>
      <c r="M61" s="37"/>
      <c r="N61" s="41"/>
      <c r="O61" s="41"/>
      <c r="P61" s="41"/>
      <c r="Q61" s="41"/>
      <c r="R61" s="41"/>
      <c r="S61" s="41"/>
      <c r="T61" s="41"/>
      <c r="U61" s="105"/>
      <c r="V61" s="105"/>
    </row>
    <row r="62" spans="1:30">
      <c r="A62" s="36"/>
      <c r="B62" s="37"/>
      <c r="C62" s="37"/>
      <c r="D62" s="37"/>
      <c r="E62" s="37"/>
      <c r="F62" s="37"/>
      <c r="G62" s="37"/>
      <c r="H62" s="37"/>
      <c r="I62" s="37"/>
      <c r="J62" s="37"/>
      <c r="K62" s="37"/>
      <c r="L62" s="37"/>
      <c r="M62" s="37"/>
      <c r="N62" s="41"/>
      <c r="O62" s="41"/>
      <c r="P62" s="41"/>
      <c r="Q62" s="41"/>
      <c r="R62" s="41"/>
      <c r="S62" s="41"/>
      <c r="T62" s="41"/>
      <c r="U62" s="105"/>
      <c r="V62" s="105"/>
    </row>
    <row r="63" spans="1:30">
      <c r="A63" s="38"/>
      <c r="B63" s="217"/>
      <c r="C63" s="217"/>
      <c r="D63" s="217"/>
      <c r="E63" s="217"/>
      <c r="F63" s="40"/>
      <c r="G63" s="41"/>
      <c r="H63" s="41"/>
      <c r="I63" s="218"/>
      <c r="J63" s="218"/>
      <c r="K63" s="218"/>
      <c r="L63" s="41"/>
      <c r="M63" s="41"/>
      <c r="N63" s="41"/>
      <c r="O63" s="41"/>
      <c r="P63" s="41"/>
      <c r="Q63" s="41"/>
      <c r="R63" s="41"/>
      <c r="S63" s="41"/>
      <c r="T63" s="41"/>
      <c r="U63" s="105"/>
      <c r="V63" s="105"/>
    </row>
    <row r="64" spans="1:30">
      <c r="A64" s="38"/>
      <c r="B64" s="39" t="s">
        <v>80</v>
      </c>
      <c r="C64" s="42"/>
      <c r="D64" s="42"/>
      <c r="E64" s="42"/>
      <c r="F64" s="40"/>
      <c r="G64" s="41"/>
      <c r="H64" s="41"/>
      <c r="I64" s="207" t="s">
        <v>81</v>
      </c>
      <c r="J64" s="207"/>
      <c r="K64" s="207"/>
      <c r="L64" s="207"/>
      <c r="M64" s="41"/>
      <c r="N64" s="41"/>
      <c r="O64" s="41"/>
      <c r="P64" s="41"/>
      <c r="Q64" s="41"/>
      <c r="R64" s="41"/>
      <c r="S64" s="41"/>
      <c r="T64" s="41"/>
      <c r="U64" s="105"/>
      <c r="V64" s="105"/>
    </row>
    <row r="65" spans="1:22" ht="15">
      <c r="A65" s="38"/>
      <c r="B65" s="208" t="s">
        <v>85</v>
      </c>
      <c r="C65" s="209"/>
      <c r="D65" s="209"/>
      <c r="E65" s="209"/>
      <c r="F65" s="37"/>
      <c r="G65" s="121"/>
      <c r="H65" s="121"/>
      <c r="I65" s="208" t="s">
        <v>82</v>
      </c>
      <c r="J65" s="209"/>
      <c r="K65" s="209"/>
      <c r="L65" s="209"/>
      <c r="M65" s="125"/>
      <c r="N65" s="41"/>
      <c r="O65" s="41"/>
      <c r="P65" s="41"/>
      <c r="Q65" s="41"/>
      <c r="R65" s="41"/>
      <c r="S65" s="41"/>
      <c r="T65" s="41"/>
      <c r="U65" s="105"/>
      <c r="V65" s="105"/>
    </row>
    <row r="66" spans="1:22" ht="15">
      <c r="A66" s="38"/>
      <c r="B66" s="210" t="s">
        <v>83</v>
      </c>
      <c r="C66" s="209"/>
      <c r="D66" s="209"/>
      <c r="E66" s="209"/>
      <c r="F66" s="37"/>
      <c r="G66" s="121"/>
      <c r="H66" s="121"/>
      <c r="I66" s="210" t="s">
        <v>84</v>
      </c>
      <c r="J66" s="209"/>
      <c r="K66" s="209"/>
      <c r="L66" s="209"/>
      <c r="M66" s="125"/>
      <c r="N66" s="41"/>
      <c r="O66" s="41"/>
      <c r="P66" s="41"/>
      <c r="Q66" s="41"/>
      <c r="R66" s="41"/>
      <c r="S66" s="41"/>
      <c r="T66" s="41"/>
      <c r="U66" s="105"/>
      <c r="V66" s="105"/>
    </row>
    <row r="67" spans="1:22" ht="15">
      <c r="A67" s="122"/>
      <c r="B67" s="198"/>
      <c r="C67" s="198"/>
      <c r="D67" s="198"/>
      <c r="E67" s="198"/>
      <c r="F67" s="123"/>
      <c r="G67" s="124"/>
      <c r="H67" s="124"/>
      <c r="I67" s="198"/>
      <c r="J67" s="198"/>
      <c r="K67" s="198"/>
      <c r="L67" s="124"/>
      <c r="M67" s="124"/>
      <c r="N67" s="126"/>
      <c r="O67" s="126"/>
      <c r="P67" s="126"/>
      <c r="Q67" s="126"/>
      <c r="R67" s="126"/>
      <c r="S67" s="126"/>
      <c r="T67" s="126"/>
      <c r="U67" s="127"/>
      <c r="V67" s="127"/>
    </row>
  </sheetData>
  <mergeCells count="82">
    <mergeCell ref="N5:P5"/>
    <mergeCell ref="Q5:R5"/>
    <mergeCell ref="T5:U5"/>
    <mergeCell ref="A8:D8"/>
    <mergeCell ref="G8:H8"/>
    <mergeCell ref="I8:J8"/>
    <mergeCell ref="P8:Q8"/>
    <mergeCell ref="U8:V8"/>
    <mergeCell ref="A10:C10"/>
    <mergeCell ref="D10:I10"/>
    <mergeCell ref="A11:C11"/>
    <mergeCell ref="D11:I11"/>
    <mergeCell ref="A12:C12"/>
    <mergeCell ref="D12:I12"/>
    <mergeCell ref="A13:C13"/>
    <mergeCell ref="D13:I13"/>
    <mergeCell ref="A14:C14"/>
    <mergeCell ref="D14:I14"/>
    <mergeCell ref="L14:M14"/>
    <mergeCell ref="A15:C15"/>
    <mergeCell ref="D15:I15"/>
    <mergeCell ref="L15:M15"/>
    <mergeCell ref="A16:C16"/>
    <mergeCell ref="D16:I16"/>
    <mergeCell ref="A17:C17"/>
    <mergeCell ref="D17:I17"/>
    <mergeCell ref="B19:I19"/>
    <mergeCell ref="A20:T20"/>
    <mergeCell ref="B21:I21"/>
    <mergeCell ref="B22:I22"/>
    <mergeCell ref="B23:I23"/>
    <mergeCell ref="B24:I24"/>
    <mergeCell ref="B25:I25"/>
    <mergeCell ref="A26:T26"/>
    <mergeCell ref="B27:I27"/>
    <mergeCell ref="B28:I28"/>
    <mergeCell ref="B29:I29"/>
    <mergeCell ref="B30:I30"/>
    <mergeCell ref="B31:I31"/>
    <mergeCell ref="B32:I32"/>
    <mergeCell ref="B33:I33"/>
    <mergeCell ref="B34:I34"/>
    <mergeCell ref="B35:I35"/>
    <mergeCell ref="B36:I36"/>
    <mergeCell ref="I63:K63"/>
    <mergeCell ref="A47:T47"/>
    <mergeCell ref="B48:I48"/>
    <mergeCell ref="B49:I49"/>
    <mergeCell ref="B50:I50"/>
    <mergeCell ref="B51:I51"/>
    <mergeCell ref="B67:E67"/>
    <mergeCell ref="I67:K67"/>
    <mergeCell ref="A56:A57"/>
    <mergeCell ref="U21:U25"/>
    <mergeCell ref="U27:U46"/>
    <mergeCell ref="U48:U52"/>
    <mergeCell ref="I64:L64"/>
    <mergeCell ref="B65:E65"/>
    <mergeCell ref="I65:L65"/>
    <mergeCell ref="B66:E66"/>
    <mergeCell ref="I66:L66"/>
    <mergeCell ref="B52:I52"/>
    <mergeCell ref="A53:T53"/>
    <mergeCell ref="B54:I54"/>
    <mergeCell ref="A55:T55"/>
    <mergeCell ref="B63:E63"/>
    <mergeCell ref="K1:M3"/>
    <mergeCell ref="T1:V3"/>
    <mergeCell ref="A1:C3"/>
    <mergeCell ref="D1:J3"/>
    <mergeCell ref="D56:U57"/>
    <mergeCell ref="B56:C57"/>
    <mergeCell ref="B42:I42"/>
    <mergeCell ref="B43:I43"/>
    <mergeCell ref="B44:I44"/>
    <mergeCell ref="B45:I45"/>
    <mergeCell ref="B46:I46"/>
    <mergeCell ref="B37:I37"/>
    <mergeCell ref="B38:I38"/>
    <mergeCell ref="B39:I39"/>
    <mergeCell ref="B40:I40"/>
    <mergeCell ref="B41:I41"/>
  </mergeCells>
  <pageMargins left="0.31496062992126" right="0.31496062992126" top="0.55118110236220497" bottom="0.55118110236220497" header="0.31496062992126" footer="0.31496062992126"/>
  <pageSetup scale="4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pageSetUpPr fitToPage="1"/>
  </sheetPr>
  <dimension ref="A1:AF67"/>
  <sheetViews>
    <sheetView showGridLines="0" tabSelected="1" view="pageBreakPreview" zoomScale="80" zoomScaleNormal="120" zoomScalePageLayoutView="70" workbookViewId="0">
      <selection activeCell="E8" sqref="E8"/>
    </sheetView>
  </sheetViews>
  <sheetFormatPr baseColWidth="10" defaultColWidth="11.453125" defaultRowHeight="14"/>
  <cols>
    <col min="1" max="1" width="3.453125" style="3" customWidth="1"/>
    <col min="2" max="2" width="11.453125" style="3"/>
    <col min="3" max="3" width="14.36328125" style="3" customWidth="1"/>
    <col min="4" max="4" width="8.81640625" style="3" customWidth="1"/>
    <col min="5" max="6" width="11.6328125" style="3" customWidth="1"/>
    <col min="7" max="8" width="11.453125" style="3"/>
    <col min="9" max="9" width="6.453125" style="3" customWidth="1"/>
    <col min="10" max="10" width="9.1796875" style="3" customWidth="1"/>
    <col min="11" max="11" width="8.6328125" style="3" customWidth="1"/>
    <col min="12" max="12" width="12.453125" style="3" customWidth="1"/>
    <col min="13" max="13" width="9.6328125" style="3" customWidth="1"/>
    <col min="14" max="14" width="17.81640625" style="3" customWidth="1"/>
    <col min="15" max="18" width="11.453125" style="3" customWidth="1"/>
    <col min="19" max="19" width="10.81640625" style="3" customWidth="1"/>
    <col min="20" max="20" width="14.81640625" style="3" customWidth="1"/>
    <col min="21" max="21" width="13.1796875" style="3" customWidth="1"/>
    <col min="22" max="22" width="1.453125" style="3" customWidth="1"/>
    <col min="23" max="16384" width="11.453125" style="3"/>
  </cols>
  <sheetData>
    <row r="1" spans="1:22" s="1" customFormat="1" ht="22" customHeight="1">
      <c r="A1" s="271"/>
      <c r="B1" s="272"/>
      <c r="C1" s="272"/>
      <c r="D1" s="275" t="s">
        <v>0</v>
      </c>
      <c r="E1" s="275"/>
      <c r="F1" s="275"/>
      <c r="G1" s="275"/>
      <c r="H1" s="275"/>
      <c r="I1" s="275"/>
      <c r="J1" s="275"/>
      <c r="K1" s="277" t="s">
        <v>1</v>
      </c>
      <c r="L1" s="277"/>
      <c r="M1" s="278"/>
      <c r="N1" s="43"/>
      <c r="O1" s="43"/>
      <c r="P1" s="43"/>
      <c r="Q1" s="43"/>
      <c r="R1" s="43"/>
      <c r="S1" s="162"/>
      <c r="T1" s="162"/>
      <c r="U1" s="163"/>
      <c r="V1" s="164"/>
    </row>
    <row r="2" spans="1:22" s="1" customFormat="1" ht="22" customHeight="1">
      <c r="A2" s="273"/>
      <c r="B2" s="274"/>
      <c r="C2" s="274"/>
      <c r="D2" s="276"/>
      <c r="E2" s="276"/>
      <c r="F2" s="276"/>
      <c r="G2" s="276"/>
      <c r="H2" s="276"/>
      <c r="I2" s="276"/>
      <c r="J2" s="276"/>
      <c r="K2" s="279"/>
      <c r="L2" s="279"/>
      <c r="M2" s="280"/>
      <c r="N2" s="44"/>
      <c r="O2" s="44"/>
      <c r="P2" s="44"/>
      <c r="Q2" s="44"/>
      <c r="R2" s="44"/>
      <c r="S2" s="165"/>
      <c r="T2" s="165"/>
      <c r="U2" s="165"/>
      <c r="V2" s="166"/>
    </row>
    <row r="3" spans="1:22" s="1" customFormat="1" ht="28" customHeight="1">
      <c r="A3" s="273"/>
      <c r="B3" s="274"/>
      <c r="C3" s="274"/>
      <c r="D3" s="276"/>
      <c r="E3" s="276"/>
      <c r="F3" s="276"/>
      <c r="G3" s="276"/>
      <c r="H3" s="276"/>
      <c r="I3" s="276"/>
      <c r="J3" s="276"/>
      <c r="K3" s="279"/>
      <c r="L3" s="279"/>
      <c r="M3" s="280"/>
      <c r="N3" s="44"/>
      <c r="O3" s="44"/>
      <c r="P3" s="44"/>
      <c r="Q3" s="44"/>
      <c r="R3" s="44"/>
      <c r="S3" s="165"/>
      <c r="T3" s="165"/>
      <c r="U3" s="165"/>
      <c r="V3" s="166"/>
    </row>
    <row r="4" spans="1:22" s="1" customFormat="1" ht="12.75" customHeight="1">
      <c r="A4" s="4"/>
      <c r="B4" s="5"/>
      <c r="C4" s="6"/>
      <c r="D4" s="6"/>
      <c r="E4" s="6"/>
      <c r="F4" s="6"/>
      <c r="G4" s="6"/>
      <c r="H4" s="6"/>
      <c r="I4" s="6"/>
      <c r="J4" s="6"/>
      <c r="K4" s="6"/>
      <c r="L4" s="6"/>
      <c r="M4" s="45"/>
      <c r="N4" s="46"/>
      <c r="O4" s="46"/>
      <c r="P4" s="46"/>
      <c r="Q4" s="46"/>
      <c r="R4" s="46"/>
      <c r="S4" s="51"/>
      <c r="T4" s="51"/>
      <c r="V4" s="83"/>
    </row>
    <row r="5" spans="1:22" s="1" customFormat="1" ht="31" customHeight="1">
      <c r="A5" s="4"/>
      <c r="B5" s="7" t="s">
        <v>2</v>
      </c>
      <c r="C5" s="7" t="s">
        <v>3</v>
      </c>
      <c r="D5" s="8"/>
      <c r="E5" s="7" t="s">
        <v>4</v>
      </c>
      <c r="F5" s="7" t="s">
        <v>5</v>
      </c>
      <c r="G5" s="5"/>
      <c r="H5" s="9" t="s">
        <v>6</v>
      </c>
      <c r="I5" s="47">
        <v>2</v>
      </c>
      <c r="J5" s="5"/>
      <c r="K5" s="9" t="s">
        <v>7</v>
      </c>
      <c r="L5" s="47" t="s">
        <v>8</v>
      </c>
      <c r="M5" s="48"/>
      <c r="N5" s="240"/>
      <c r="O5" s="240"/>
      <c r="P5" s="240"/>
      <c r="Q5" s="240"/>
      <c r="R5" s="84"/>
      <c r="S5" s="240"/>
      <c r="T5" s="240"/>
      <c r="U5" s="240"/>
      <c r="V5" s="83"/>
    </row>
    <row r="6" spans="1:22" s="1" customFormat="1" ht="24" customHeight="1">
      <c r="A6" s="10"/>
      <c r="B6" s="11"/>
      <c r="C6" s="12"/>
      <c r="D6" s="12"/>
      <c r="E6" s="12"/>
      <c r="F6" s="12"/>
      <c r="G6" s="12"/>
      <c r="H6" s="12"/>
      <c r="I6" s="12"/>
      <c r="J6" s="12"/>
      <c r="K6" s="12"/>
      <c r="L6" s="12"/>
      <c r="M6" s="50"/>
      <c r="N6" s="46"/>
      <c r="O6" s="46"/>
      <c r="P6" s="46"/>
      <c r="Q6" s="46"/>
      <c r="R6" s="46"/>
      <c r="S6" s="51"/>
      <c r="T6" s="51"/>
      <c r="V6" s="83"/>
    </row>
    <row r="7" spans="1:22" s="1" customFormat="1" ht="18" customHeight="1">
      <c r="A7" s="4"/>
      <c r="V7" s="83"/>
    </row>
    <row r="8" spans="1:22" s="1" customFormat="1" ht="13.5" customHeight="1">
      <c r="A8" s="242" t="s">
        <v>9</v>
      </c>
      <c r="B8" s="243"/>
      <c r="C8" s="243"/>
      <c r="D8" s="243"/>
      <c r="E8" s="13">
        <v>46023</v>
      </c>
      <c r="F8" s="14"/>
      <c r="G8" s="244" t="s">
        <v>10</v>
      </c>
      <c r="H8" s="244"/>
      <c r="I8" s="245">
        <v>46053</v>
      </c>
      <c r="J8" s="243"/>
      <c r="K8" s="17"/>
      <c r="L8" s="51"/>
      <c r="Q8" s="246"/>
      <c r="R8" s="171"/>
      <c r="U8" s="246"/>
      <c r="V8" s="247"/>
    </row>
    <row r="9" spans="1:22" s="1" customFormat="1" ht="17.25" customHeight="1">
      <c r="A9" s="15"/>
      <c r="B9" s="14"/>
      <c r="C9" s="14"/>
      <c r="D9" s="14"/>
      <c r="E9" s="16"/>
      <c r="F9" s="16"/>
      <c r="G9" s="17"/>
      <c r="H9" s="17"/>
      <c r="I9" s="17"/>
      <c r="J9" s="17"/>
      <c r="K9" s="17"/>
      <c r="L9" s="17"/>
      <c r="M9" s="17"/>
      <c r="N9" s="17"/>
      <c r="O9" s="17"/>
      <c r="P9" s="17"/>
      <c r="S9" s="85"/>
      <c r="T9" s="85"/>
      <c r="U9" s="85"/>
      <c r="V9" s="86"/>
    </row>
    <row r="10" spans="1:22" s="1" customFormat="1" ht="12.75" customHeight="1">
      <c r="A10" s="234" t="s">
        <v>11</v>
      </c>
      <c r="B10" s="235"/>
      <c r="C10" s="235"/>
      <c r="D10" s="236">
        <v>7</v>
      </c>
      <c r="E10" s="236"/>
      <c r="F10" s="236"/>
      <c r="G10" s="236"/>
      <c r="H10" s="236"/>
      <c r="I10" s="236"/>
      <c r="J10" s="17"/>
      <c r="K10" s="17"/>
      <c r="L10" s="17"/>
      <c r="M10" s="17"/>
      <c r="N10" s="17"/>
      <c r="O10" s="17"/>
      <c r="P10" s="17"/>
      <c r="S10" s="85"/>
      <c r="T10" s="85"/>
      <c r="U10" s="85"/>
      <c r="V10" s="86"/>
    </row>
    <row r="11" spans="1:22" s="1" customFormat="1" ht="12.75" customHeight="1">
      <c r="A11" s="234" t="s">
        <v>12</v>
      </c>
      <c r="B11" s="235"/>
      <c r="C11" s="235"/>
      <c r="D11" s="236" t="s">
        <v>8</v>
      </c>
      <c r="E11" s="236"/>
      <c r="F11" s="236"/>
      <c r="G11" s="236"/>
      <c r="H11" s="236"/>
      <c r="I11" s="236"/>
      <c r="J11" s="18"/>
      <c r="K11" s="18"/>
      <c r="L11" s="18"/>
      <c r="M11" s="18"/>
      <c r="N11" s="18"/>
      <c r="O11" s="18"/>
      <c r="P11" s="18"/>
      <c r="Q11" s="18"/>
      <c r="R11" s="18"/>
      <c r="S11" s="18"/>
      <c r="T11" s="18"/>
      <c r="U11" s="18"/>
      <c r="V11" s="87"/>
    </row>
    <row r="12" spans="1:22" s="1" customFormat="1" ht="12.75" customHeight="1">
      <c r="A12" s="234" t="s">
        <v>13</v>
      </c>
      <c r="B12" s="235"/>
      <c r="C12" s="235"/>
      <c r="D12" s="236" t="s">
        <v>14</v>
      </c>
      <c r="E12" s="236"/>
      <c r="F12" s="236"/>
      <c r="G12" s="236"/>
      <c r="H12" s="236"/>
      <c r="I12" s="236"/>
      <c r="J12" s="18"/>
      <c r="K12" s="18"/>
      <c r="L12" s="18"/>
      <c r="M12" s="18"/>
      <c r="N12" s="18"/>
      <c r="O12" s="18"/>
      <c r="P12" s="18"/>
      <c r="Q12" s="18"/>
      <c r="S12" s="85"/>
      <c r="T12" s="85"/>
      <c r="U12" s="85"/>
      <c r="V12" s="86"/>
    </row>
    <row r="13" spans="1:22" s="1" customFormat="1" ht="12.75" customHeight="1">
      <c r="A13" s="234" t="s">
        <v>15</v>
      </c>
      <c r="B13" s="235"/>
      <c r="C13" s="235"/>
      <c r="D13" s="236" t="s">
        <v>5</v>
      </c>
      <c r="E13" s="236"/>
      <c r="F13" s="236"/>
      <c r="G13" s="236"/>
      <c r="H13" s="236"/>
      <c r="I13" s="236"/>
      <c r="J13" s="18"/>
      <c r="L13" s="18"/>
      <c r="M13" s="18"/>
      <c r="N13" s="18"/>
      <c r="O13" s="18"/>
      <c r="P13" s="18"/>
      <c r="Q13" s="18"/>
      <c r="R13" s="18"/>
      <c r="S13" s="85"/>
      <c r="T13" s="85"/>
      <c r="U13" s="85"/>
      <c r="V13" s="86"/>
    </row>
    <row r="14" spans="1:22" s="1" customFormat="1" ht="12.75" customHeight="1">
      <c r="A14" s="234" t="s">
        <v>16</v>
      </c>
      <c r="B14" s="235"/>
      <c r="C14" s="235"/>
      <c r="D14" s="236" t="s">
        <v>17</v>
      </c>
      <c r="E14" s="236"/>
      <c r="F14" s="236"/>
      <c r="G14" s="236"/>
      <c r="H14" s="236"/>
      <c r="I14" s="236"/>
      <c r="J14" s="17" t="s">
        <v>18</v>
      </c>
      <c r="L14" s="237" t="s">
        <v>3</v>
      </c>
      <c r="M14" s="237"/>
      <c r="N14" s="18"/>
      <c r="O14" s="18"/>
      <c r="P14" s="18"/>
      <c r="Q14" s="18"/>
      <c r="S14" s="85"/>
      <c r="T14" s="85"/>
      <c r="U14" s="85"/>
      <c r="V14" s="86"/>
    </row>
    <row r="15" spans="1:22" s="1" customFormat="1" ht="12.75" customHeight="1">
      <c r="A15" s="234" t="s">
        <v>19</v>
      </c>
      <c r="B15" s="235"/>
      <c r="C15" s="235"/>
      <c r="D15" s="236" t="s">
        <v>20</v>
      </c>
      <c r="E15" s="236"/>
      <c r="F15" s="236"/>
      <c r="G15" s="236"/>
      <c r="H15" s="236"/>
      <c r="I15" s="236"/>
      <c r="J15" s="17" t="s">
        <v>21</v>
      </c>
      <c r="L15" s="237" t="s">
        <v>22</v>
      </c>
      <c r="M15" s="237"/>
      <c r="N15" s="18"/>
      <c r="O15" s="18"/>
      <c r="P15" s="18"/>
      <c r="Q15" s="18"/>
      <c r="R15" s="18"/>
      <c r="S15" s="85"/>
      <c r="T15" s="85"/>
      <c r="U15" s="85"/>
      <c r="V15" s="86"/>
    </row>
    <row r="16" spans="1:22" s="1" customFormat="1" ht="12.75" customHeight="1">
      <c r="A16" s="238" t="s">
        <v>23</v>
      </c>
      <c r="B16" s="239"/>
      <c r="C16" s="239"/>
      <c r="D16" s="236" t="s">
        <v>24</v>
      </c>
      <c r="E16" s="236"/>
      <c r="F16" s="236"/>
      <c r="G16" s="236"/>
      <c r="H16" s="236"/>
      <c r="I16" s="236"/>
      <c r="J16" s="18"/>
      <c r="K16" s="18"/>
      <c r="L16" s="18"/>
      <c r="M16" s="18"/>
      <c r="N16" s="18"/>
      <c r="O16" s="18"/>
      <c r="P16" s="18"/>
      <c r="Q16" s="18"/>
      <c r="S16" s="85"/>
      <c r="T16" s="85"/>
      <c r="U16" s="85"/>
      <c r="V16" s="86"/>
    </row>
    <row r="17" spans="1:32" s="1" customFormat="1" ht="12.75" customHeight="1">
      <c r="A17" s="225" t="s">
        <v>25</v>
      </c>
      <c r="B17" s="226"/>
      <c r="C17" s="226"/>
      <c r="D17" s="227">
        <v>46053</v>
      </c>
      <c r="E17" s="228"/>
      <c r="F17" s="228"/>
      <c r="G17" s="228"/>
      <c r="H17" s="228"/>
      <c r="I17" s="228"/>
      <c r="J17" s="19"/>
      <c r="K17" s="19"/>
      <c r="L17" s="19"/>
      <c r="M17" s="19"/>
      <c r="N17" s="52"/>
      <c r="O17" s="52"/>
      <c r="P17" s="53"/>
      <c r="Q17" s="5"/>
      <c r="R17" s="5"/>
      <c r="S17" s="23"/>
      <c r="T17" s="23"/>
      <c r="U17" s="23"/>
      <c r="V17" s="88"/>
    </row>
    <row r="18" spans="1:32" s="1" customFormat="1" ht="36.75" customHeight="1">
      <c r="A18" s="20"/>
      <c r="B18" s="21"/>
      <c r="C18" s="21"/>
      <c r="D18" s="21"/>
      <c r="E18" s="21"/>
      <c r="F18" s="21"/>
      <c r="G18" s="21"/>
      <c r="H18" s="21"/>
      <c r="I18" s="21"/>
      <c r="J18" s="21"/>
      <c r="K18" s="21"/>
      <c r="L18" s="21"/>
      <c r="M18" s="21"/>
      <c r="N18" s="54" t="s">
        <v>26</v>
      </c>
      <c r="O18" s="54" t="s">
        <v>27</v>
      </c>
      <c r="P18" s="54" t="s">
        <v>27</v>
      </c>
      <c r="Q18" s="54" t="s">
        <v>28</v>
      </c>
      <c r="R18" s="54" t="s">
        <v>28</v>
      </c>
      <c r="S18" s="54" t="s">
        <v>28</v>
      </c>
      <c r="T18" s="281" t="s">
        <v>86</v>
      </c>
      <c r="U18" s="89"/>
      <c r="V18" s="86"/>
    </row>
    <row r="19" spans="1:32" s="1" customFormat="1" ht="21.75" customHeight="1">
      <c r="A19" s="22" t="s">
        <v>29</v>
      </c>
      <c r="B19" s="253" t="s">
        <v>30</v>
      </c>
      <c r="C19" s="253"/>
      <c r="D19" s="253"/>
      <c r="E19" s="253"/>
      <c r="F19" s="253"/>
      <c r="G19" s="253"/>
      <c r="H19" s="253"/>
      <c r="I19" s="253"/>
      <c r="J19" s="55" t="s">
        <v>31</v>
      </c>
      <c r="K19" s="55" t="s">
        <v>32</v>
      </c>
      <c r="L19" s="55" t="s">
        <v>33</v>
      </c>
      <c r="M19" s="55" t="s">
        <v>34</v>
      </c>
      <c r="N19" s="56" t="s">
        <v>35</v>
      </c>
      <c r="O19" s="57" t="s">
        <v>87</v>
      </c>
      <c r="P19" s="57" t="s">
        <v>88</v>
      </c>
      <c r="Q19" s="57" t="s">
        <v>89</v>
      </c>
      <c r="R19" s="57" t="s">
        <v>90</v>
      </c>
      <c r="S19" s="56" t="s">
        <v>36</v>
      </c>
      <c r="T19" s="282"/>
      <c r="U19" s="90" t="s">
        <v>37</v>
      </c>
      <c r="V19" s="86"/>
    </row>
    <row r="20" spans="1:32" s="1" customFormat="1" ht="17.25" customHeight="1">
      <c r="A20" s="291" t="s">
        <v>38</v>
      </c>
      <c r="B20" s="292"/>
      <c r="C20" s="292"/>
      <c r="D20" s="292"/>
      <c r="E20" s="292"/>
      <c r="F20" s="292"/>
      <c r="G20" s="292"/>
      <c r="H20" s="292"/>
      <c r="I20" s="292"/>
      <c r="J20" s="292"/>
      <c r="K20" s="292"/>
      <c r="L20" s="292"/>
      <c r="M20" s="292"/>
      <c r="N20" s="293"/>
      <c r="O20" s="293"/>
      <c r="P20" s="293"/>
      <c r="Q20" s="293"/>
      <c r="R20" s="293"/>
      <c r="S20" s="294"/>
      <c r="T20" s="86"/>
      <c r="U20" s="91">
        <v>20</v>
      </c>
      <c r="V20" s="86"/>
      <c r="AC20" s="116" t="s">
        <v>39</v>
      </c>
      <c r="AD20" s="116" t="s">
        <v>40</v>
      </c>
    </row>
    <row r="21" spans="1:32" s="1" customFormat="1" ht="17.25" customHeight="1">
      <c r="A21" s="24">
        <v>1</v>
      </c>
      <c r="B21" s="295" t="s">
        <v>41</v>
      </c>
      <c r="C21" s="296"/>
      <c r="D21" s="296"/>
      <c r="E21" s="296"/>
      <c r="F21" s="296"/>
      <c r="G21" s="296"/>
      <c r="H21" s="296"/>
      <c r="I21" s="296"/>
      <c r="J21" s="58" t="s">
        <v>42</v>
      </c>
      <c r="K21" s="59"/>
      <c r="L21" s="59"/>
      <c r="M21" s="59"/>
      <c r="N21" s="60">
        <v>4</v>
      </c>
      <c r="O21" s="61">
        <f>'SEMANA 1'!T21</f>
        <v>0.4</v>
      </c>
      <c r="P21" s="61">
        <f>'SEMANA 2'!T21</f>
        <v>0.4</v>
      </c>
      <c r="Q21" s="92">
        <f>'SEMANA 3'!T21</f>
        <v>0.2</v>
      </c>
      <c r="R21" s="93">
        <f>'SEMANA 4'!T21</f>
        <v>1</v>
      </c>
      <c r="S21" s="94">
        <f>AVERAGE(O21:R21)</f>
        <v>0.5</v>
      </c>
      <c r="T21" s="283"/>
      <c r="U21" s="270">
        <f>IF(SUM(N21:N25)&lt;&gt;U20,"Ajustar Ponderacion",IF(SUM(AD21:AD25)=0,"",IF(SUM(AC21:AC25)=U20,IF(SUM(N21:N25)=U20,SUM(AD21:AD25),"Ajustar ponderacion"),"Ajustar ponderacion")))</f>
        <v>18</v>
      </c>
      <c r="V21" s="86"/>
      <c r="AC21" s="117">
        <f t="shared" ref="AC21:AC54" si="0">IF(J21="x",N21)</f>
        <v>4</v>
      </c>
      <c r="AD21" s="118">
        <f t="shared" ref="AD21:AD54" si="1">AC21*S21</f>
        <v>2</v>
      </c>
      <c r="AF21" s="1">
        <v>0</v>
      </c>
    </row>
    <row r="22" spans="1:32" s="1" customFormat="1" ht="28.75" customHeight="1">
      <c r="A22" s="25">
        <v>2</v>
      </c>
      <c r="B22" s="288" t="s">
        <v>43</v>
      </c>
      <c r="C22" s="196"/>
      <c r="D22" s="196"/>
      <c r="E22" s="196"/>
      <c r="F22" s="196"/>
      <c r="G22" s="196"/>
      <c r="H22" s="196"/>
      <c r="I22" s="196"/>
      <c r="J22" s="62" t="s">
        <v>42</v>
      </c>
      <c r="K22" s="63"/>
      <c r="L22" s="63"/>
      <c r="M22" s="63"/>
      <c r="N22" s="64">
        <v>4</v>
      </c>
      <c r="O22" s="65">
        <f>'SEMANA 1'!T22</f>
        <v>1</v>
      </c>
      <c r="P22" s="65">
        <f>'SEMANA 2'!T22</f>
        <v>1</v>
      </c>
      <c r="Q22" s="65">
        <f>'SEMANA 3'!T22</f>
        <v>1</v>
      </c>
      <c r="R22" s="95">
        <f>'SEMANA 4'!T22</f>
        <v>1</v>
      </c>
      <c r="S22" s="96">
        <f>AVERAGE(O22:R22)</f>
        <v>1</v>
      </c>
      <c r="T22" s="284"/>
      <c r="U22" s="202"/>
      <c r="V22" s="86"/>
      <c r="AC22" s="117">
        <f t="shared" si="0"/>
        <v>4</v>
      </c>
      <c r="AD22" s="118">
        <f t="shared" si="1"/>
        <v>4</v>
      </c>
      <c r="AF22" s="1">
        <v>100</v>
      </c>
    </row>
    <row r="23" spans="1:32" s="1" customFormat="1" ht="27.75" customHeight="1">
      <c r="A23" s="25">
        <v>3</v>
      </c>
      <c r="B23" s="288" t="s">
        <v>44</v>
      </c>
      <c r="C23" s="196"/>
      <c r="D23" s="196"/>
      <c r="E23" s="196"/>
      <c r="F23" s="196"/>
      <c r="G23" s="196"/>
      <c r="H23" s="196"/>
      <c r="I23" s="196"/>
      <c r="J23" s="62" t="s">
        <v>42</v>
      </c>
      <c r="K23" s="63"/>
      <c r="L23" s="63"/>
      <c r="M23" s="63"/>
      <c r="N23" s="64">
        <v>4</v>
      </c>
      <c r="O23" s="65">
        <f>'SEMANA 1'!T23</f>
        <v>1</v>
      </c>
      <c r="P23" s="65">
        <f>'SEMANA 2'!T23</f>
        <v>1</v>
      </c>
      <c r="Q23" s="65">
        <f>'SEMANA 3'!T23</f>
        <v>1</v>
      </c>
      <c r="R23" s="95">
        <f>'SEMANA 4'!T23</f>
        <v>1</v>
      </c>
      <c r="S23" s="96">
        <f>AVERAGE(O23:R23)</f>
        <v>1</v>
      </c>
      <c r="T23" s="284"/>
      <c r="U23" s="202"/>
      <c r="V23" s="86"/>
      <c r="AC23" s="117">
        <f t="shared" si="0"/>
        <v>4</v>
      </c>
      <c r="AD23" s="118">
        <f t="shared" si="1"/>
        <v>4</v>
      </c>
    </row>
    <row r="24" spans="1:32" s="1" customFormat="1" ht="30.75" customHeight="1">
      <c r="A24" s="25">
        <v>4</v>
      </c>
      <c r="B24" s="288" t="s">
        <v>45</v>
      </c>
      <c r="C24" s="196"/>
      <c r="D24" s="196"/>
      <c r="E24" s="196"/>
      <c r="F24" s="196"/>
      <c r="G24" s="196"/>
      <c r="H24" s="196"/>
      <c r="I24" s="196"/>
      <c r="J24" s="62" t="s">
        <v>42</v>
      </c>
      <c r="K24" s="62"/>
      <c r="L24" s="63"/>
      <c r="M24" s="63"/>
      <c r="N24" s="64">
        <v>4</v>
      </c>
      <c r="O24" s="65">
        <f>'SEMANA 1'!T24</f>
        <v>1</v>
      </c>
      <c r="P24" s="65">
        <f>'SEMANA 2'!T24</f>
        <v>1</v>
      </c>
      <c r="Q24" s="65">
        <f>'SEMANA 3'!T24</f>
        <v>1</v>
      </c>
      <c r="R24" s="95">
        <f>'SEMANA 4'!T24</f>
        <v>1</v>
      </c>
      <c r="S24" s="96">
        <f>AVERAGE(O24:R24)</f>
        <v>1</v>
      </c>
      <c r="T24" s="284"/>
      <c r="U24" s="202"/>
      <c r="V24" s="86"/>
      <c r="AC24" s="117">
        <f t="shared" si="0"/>
        <v>4</v>
      </c>
      <c r="AD24" s="118">
        <f t="shared" si="1"/>
        <v>4</v>
      </c>
    </row>
    <row r="25" spans="1:32" s="1" customFormat="1" ht="17.25" customHeight="1">
      <c r="A25" s="26">
        <v>5</v>
      </c>
      <c r="B25" s="289" t="s">
        <v>46</v>
      </c>
      <c r="C25" s="290"/>
      <c r="D25" s="290"/>
      <c r="E25" s="290"/>
      <c r="F25" s="290"/>
      <c r="G25" s="290"/>
      <c r="H25" s="290"/>
      <c r="I25" s="290"/>
      <c r="J25" s="66" t="s">
        <v>42</v>
      </c>
      <c r="K25" s="67"/>
      <c r="L25" s="67"/>
      <c r="M25" s="67"/>
      <c r="N25" s="68">
        <v>4</v>
      </c>
      <c r="O25" s="69">
        <f>'SEMANA 1'!T25</f>
        <v>1</v>
      </c>
      <c r="P25" s="69">
        <f>'SEMANA 2'!T25</f>
        <v>1</v>
      </c>
      <c r="Q25" s="97">
        <f>'SEMANA 3'!T25</f>
        <v>1</v>
      </c>
      <c r="R25" s="98">
        <f>'SEMANA 4'!T25</f>
        <v>1</v>
      </c>
      <c r="S25" s="99">
        <f>AVERAGE(O25:R25)</f>
        <v>1</v>
      </c>
      <c r="T25" s="285"/>
      <c r="U25" s="204"/>
      <c r="V25" s="86"/>
      <c r="AC25" s="117">
        <f t="shared" si="0"/>
        <v>4</v>
      </c>
      <c r="AD25" s="118">
        <f t="shared" si="1"/>
        <v>4</v>
      </c>
    </row>
    <row r="26" spans="1:32" s="1" customFormat="1" ht="17.25" customHeight="1">
      <c r="A26" s="222" t="s">
        <v>47</v>
      </c>
      <c r="B26" s="223"/>
      <c r="C26" s="223"/>
      <c r="D26" s="223"/>
      <c r="E26" s="223"/>
      <c r="F26" s="223"/>
      <c r="G26" s="223"/>
      <c r="H26" s="223"/>
      <c r="I26" s="223"/>
      <c r="J26" s="223"/>
      <c r="K26" s="223"/>
      <c r="L26" s="223"/>
      <c r="M26" s="223"/>
      <c r="N26" s="223"/>
      <c r="O26" s="223"/>
      <c r="P26" s="223"/>
      <c r="Q26" s="223"/>
      <c r="R26" s="223"/>
      <c r="S26" s="224"/>
      <c r="T26" s="101"/>
      <c r="U26" s="102">
        <v>50</v>
      </c>
      <c r="V26" s="86"/>
      <c r="AC26" s="117" t="b">
        <f t="shared" si="0"/>
        <v>0</v>
      </c>
      <c r="AD26" s="118">
        <f t="shared" si="1"/>
        <v>0</v>
      </c>
    </row>
    <row r="27" spans="1:32" s="1" customFormat="1" ht="17.25" customHeight="1">
      <c r="A27" s="27">
        <v>6</v>
      </c>
      <c r="B27" s="221" t="s">
        <v>48</v>
      </c>
      <c r="C27" s="221"/>
      <c r="D27" s="221"/>
      <c r="E27" s="221"/>
      <c r="F27" s="221"/>
      <c r="G27" s="221"/>
      <c r="H27" s="221"/>
      <c r="I27" s="221"/>
      <c r="J27" s="62" t="s">
        <v>42</v>
      </c>
      <c r="K27" s="70"/>
      <c r="L27" s="70"/>
      <c r="M27" s="70"/>
      <c r="N27" s="71">
        <v>2.5</v>
      </c>
      <c r="O27" s="72">
        <f>'SEMANA 1'!T27</f>
        <v>1</v>
      </c>
      <c r="P27" s="72">
        <f>'SEMANA 2'!T27</f>
        <v>1</v>
      </c>
      <c r="Q27" s="72">
        <f>'SEMANA 3'!T27</f>
        <v>1</v>
      </c>
      <c r="R27" s="72">
        <f>'SEMANA 4'!T27</f>
        <v>0.6</v>
      </c>
      <c r="S27" s="103">
        <f>AVERAGE(O27:R27)</f>
        <v>0.9</v>
      </c>
      <c r="T27" s="104"/>
      <c r="U27" s="202">
        <f>IF(SUM(N27:N46)&lt;&gt;U26,"Ajuste ponderacion",IF(SUM(AD27:AD46)=0,"",IF(SUM(AC27:AC46)=U26,IF(SUM(N27:N46)=U26,SUM(AD27:AD46),"ajustar ponderacion"),"ajustar ponderacion")))</f>
        <v>49.375</v>
      </c>
      <c r="V27" s="86"/>
      <c r="AC27" s="117">
        <f t="shared" si="0"/>
        <v>2.5</v>
      </c>
      <c r="AD27" s="118">
        <f t="shared" si="1"/>
        <v>2.25</v>
      </c>
    </row>
    <row r="28" spans="1:32" s="1" customFormat="1" ht="17.25" customHeight="1">
      <c r="A28" s="28">
        <v>7</v>
      </c>
      <c r="B28" s="196" t="s">
        <v>49</v>
      </c>
      <c r="C28" s="196"/>
      <c r="D28" s="196"/>
      <c r="E28" s="196"/>
      <c r="F28" s="196"/>
      <c r="G28" s="196"/>
      <c r="H28" s="196"/>
      <c r="I28" s="196"/>
      <c r="J28" s="62" t="s">
        <v>42</v>
      </c>
      <c r="K28" s="73"/>
      <c r="L28" s="73"/>
      <c r="M28" s="73"/>
      <c r="N28" s="71">
        <v>2.5</v>
      </c>
      <c r="O28" s="72">
        <f>'SEMANA 1'!T28</f>
        <v>1</v>
      </c>
      <c r="P28" s="72">
        <f>'SEMANA 2'!T28</f>
        <v>1</v>
      </c>
      <c r="Q28" s="72">
        <f>'SEMANA 3'!T28</f>
        <v>1</v>
      </c>
      <c r="R28" s="72">
        <f>'SEMANA 4'!T28</f>
        <v>0.4</v>
      </c>
      <c r="S28" s="103">
        <f t="shared" ref="S28:S46" si="2">AVERAGE(O28:R28)</f>
        <v>0.85</v>
      </c>
      <c r="T28" s="104"/>
      <c r="U28" s="202"/>
      <c r="V28" s="86"/>
      <c r="AC28" s="117">
        <f t="shared" si="0"/>
        <v>2.5</v>
      </c>
      <c r="AD28" s="118">
        <f t="shared" si="1"/>
        <v>2.125</v>
      </c>
    </row>
    <row r="29" spans="1:32" s="1" customFormat="1" ht="36.75" customHeight="1">
      <c r="A29" s="28">
        <v>8</v>
      </c>
      <c r="B29" s="196" t="s">
        <v>50</v>
      </c>
      <c r="C29" s="196"/>
      <c r="D29" s="196"/>
      <c r="E29" s="196"/>
      <c r="F29" s="196"/>
      <c r="G29" s="196"/>
      <c r="H29" s="196"/>
      <c r="I29" s="196"/>
      <c r="J29" s="62" t="s">
        <v>42</v>
      </c>
      <c r="K29" s="73"/>
      <c r="L29" s="62"/>
      <c r="M29" s="73"/>
      <c r="N29" s="71">
        <v>2.5</v>
      </c>
      <c r="O29" s="72">
        <f>'SEMANA 1'!T29</f>
        <v>1</v>
      </c>
      <c r="P29" s="72">
        <f>'SEMANA 2'!T29</f>
        <v>1</v>
      </c>
      <c r="Q29" s="72">
        <f>'SEMANA 3'!T29</f>
        <v>1</v>
      </c>
      <c r="R29" s="72">
        <f>'SEMANA 4'!T29</f>
        <v>1</v>
      </c>
      <c r="S29" s="103">
        <f t="shared" si="2"/>
        <v>1</v>
      </c>
      <c r="T29" s="104"/>
      <c r="U29" s="202"/>
      <c r="V29" s="86"/>
      <c r="AC29" s="117">
        <f t="shared" si="0"/>
        <v>2.5</v>
      </c>
      <c r="AD29" s="118">
        <f t="shared" si="1"/>
        <v>2.5</v>
      </c>
    </row>
    <row r="30" spans="1:32" s="1" customFormat="1" ht="28" customHeight="1">
      <c r="A30" s="28">
        <v>9</v>
      </c>
      <c r="B30" s="196" t="s">
        <v>51</v>
      </c>
      <c r="C30" s="196"/>
      <c r="D30" s="196"/>
      <c r="E30" s="196"/>
      <c r="F30" s="196"/>
      <c r="G30" s="196"/>
      <c r="H30" s="196"/>
      <c r="I30" s="196"/>
      <c r="J30" s="62" t="s">
        <v>42</v>
      </c>
      <c r="K30" s="73"/>
      <c r="L30" s="73"/>
      <c r="M30" s="73"/>
      <c r="N30" s="71">
        <v>2.5</v>
      </c>
      <c r="O30" s="72">
        <f>'SEMANA 1'!T30</f>
        <v>1</v>
      </c>
      <c r="P30" s="72">
        <f>'SEMANA 2'!T30</f>
        <v>1</v>
      </c>
      <c r="Q30" s="72">
        <f>'SEMANA 3'!T30</f>
        <v>1</v>
      </c>
      <c r="R30" s="72">
        <f>'SEMANA 4'!T30</f>
        <v>1</v>
      </c>
      <c r="S30" s="103">
        <f t="shared" si="2"/>
        <v>1</v>
      </c>
      <c r="T30" s="104"/>
      <c r="U30" s="202"/>
      <c r="V30" s="86"/>
      <c r="AC30" s="117">
        <f t="shared" si="0"/>
        <v>2.5</v>
      </c>
      <c r="AD30" s="118">
        <f t="shared" si="1"/>
        <v>2.5</v>
      </c>
    </row>
    <row r="31" spans="1:32" s="1" customFormat="1" ht="17.25" customHeight="1">
      <c r="A31" s="28">
        <v>10</v>
      </c>
      <c r="B31" s="196" t="s">
        <v>52</v>
      </c>
      <c r="C31" s="196"/>
      <c r="D31" s="196"/>
      <c r="E31" s="196"/>
      <c r="F31" s="196"/>
      <c r="G31" s="196"/>
      <c r="H31" s="196"/>
      <c r="I31" s="196"/>
      <c r="J31" s="62" t="s">
        <v>42</v>
      </c>
      <c r="K31" s="73"/>
      <c r="L31" s="62"/>
      <c r="M31" s="73"/>
      <c r="N31" s="71">
        <v>2.5</v>
      </c>
      <c r="O31" s="72">
        <f>'SEMANA 1'!T31</f>
        <v>1</v>
      </c>
      <c r="P31" s="72">
        <f>'SEMANA 2'!T31</f>
        <v>1</v>
      </c>
      <c r="Q31" s="72">
        <f>'SEMANA 3'!T31</f>
        <v>1</v>
      </c>
      <c r="R31" s="72">
        <f>'SEMANA 4'!T31</f>
        <v>1</v>
      </c>
      <c r="S31" s="103">
        <f t="shared" si="2"/>
        <v>1</v>
      </c>
      <c r="T31" s="104"/>
      <c r="U31" s="202"/>
      <c r="V31" s="86"/>
      <c r="AC31" s="117">
        <f t="shared" si="0"/>
        <v>2.5</v>
      </c>
      <c r="AD31" s="118">
        <f t="shared" si="1"/>
        <v>2.5</v>
      </c>
    </row>
    <row r="32" spans="1:32" s="1" customFormat="1" ht="17.25" customHeight="1">
      <c r="A32" s="28">
        <v>11</v>
      </c>
      <c r="B32" s="196" t="s">
        <v>53</v>
      </c>
      <c r="C32" s="196"/>
      <c r="D32" s="196"/>
      <c r="E32" s="196"/>
      <c r="F32" s="196"/>
      <c r="G32" s="196"/>
      <c r="H32" s="196"/>
      <c r="I32" s="196"/>
      <c r="J32" s="62" t="s">
        <v>42</v>
      </c>
      <c r="K32" s="62"/>
      <c r="L32" s="73"/>
      <c r="M32" s="73"/>
      <c r="N32" s="71">
        <v>2.5</v>
      </c>
      <c r="O32" s="72">
        <f>'SEMANA 1'!T32</f>
        <v>1</v>
      </c>
      <c r="P32" s="72">
        <f>'SEMANA 2'!T32</f>
        <v>1</v>
      </c>
      <c r="Q32" s="72">
        <f>'SEMANA 3'!T32</f>
        <v>1</v>
      </c>
      <c r="R32" s="72">
        <f>'SEMANA 4'!T32</f>
        <v>1</v>
      </c>
      <c r="S32" s="103">
        <f t="shared" si="2"/>
        <v>1</v>
      </c>
      <c r="T32" s="104"/>
      <c r="U32" s="202"/>
      <c r="V32" s="86"/>
      <c r="AC32" s="117">
        <f t="shared" si="0"/>
        <v>2.5</v>
      </c>
      <c r="AD32" s="118">
        <f t="shared" si="1"/>
        <v>2.5</v>
      </c>
    </row>
    <row r="33" spans="1:30" s="1" customFormat="1" ht="17.25" customHeight="1">
      <c r="A33" s="28">
        <v>12</v>
      </c>
      <c r="B33" s="196" t="s">
        <v>54</v>
      </c>
      <c r="C33" s="196"/>
      <c r="D33" s="196"/>
      <c r="E33" s="196"/>
      <c r="F33" s="196"/>
      <c r="G33" s="196"/>
      <c r="H33" s="196"/>
      <c r="I33" s="196"/>
      <c r="J33" s="62" t="s">
        <v>42</v>
      </c>
      <c r="K33" s="62"/>
      <c r="L33" s="73"/>
      <c r="M33" s="73"/>
      <c r="N33" s="71">
        <v>2.5</v>
      </c>
      <c r="O33" s="72">
        <f>'SEMANA 1'!T33</f>
        <v>1</v>
      </c>
      <c r="P33" s="72">
        <f>'SEMANA 2'!T33</f>
        <v>1</v>
      </c>
      <c r="Q33" s="72">
        <f>'SEMANA 3'!T33</f>
        <v>1</v>
      </c>
      <c r="R33" s="72">
        <f>'SEMANA 4'!T33</f>
        <v>1</v>
      </c>
      <c r="S33" s="103">
        <f t="shared" si="2"/>
        <v>1</v>
      </c>
      <c r="T33" s="104"/>
      <c r="U33" s="202"/>
      <c r="V33" s="86"/>
      <c r="AC33" s="117">
        <f t="shared" si="0"/>
        <v>2.5</v>
      </c>
      <c r="AD33" s="118">
        <f t="shared" si="1"/>
        <v>2.5</v>
      </c>
    </row>
    <row r="34" spans="1:30" s="1" customFormat="1" ht="17.25" customHeight="1">
      <c r="A34" s="28">
        <v>13</v>
      </c>
      <c r="B34" s="196" t="s">
        <v>55</v>
      </c>
      <c r="C34" s="196"/>
      <c r="D34" s="196"/>
      <c r="E34" s="196"/>
      <c r="F34" s="196"/>
      <c r="G34" s="196"/>
      <c r="H34" s="196"/>
      <c r="I34" s="196"/>
      <c r="J34" s="62" t="s">
        <v>42</v>
      </c>
      <c r="K34" s="62"/>
      <c r="L34" s="73"/>
      <c r="M34" s="73"/>
      <c r="N34" s="71">
        <v>2.5</v>
      </c>
      <c r="O34" s="72">
        <f>'SEMANA 1'!T34</f>
        <v>1</v>
      </c>
      <c r="P34" s="72">
        <f>'SEMANA 2'!T34</f>
        <v>1</v>
      </c>
      <c r="Q34" s="72">
        <f>'SEMANA 3'!T34</f>
        <v>1</v>
      </c>
      <c r="R34" s="72">
        <f>'SEMANA 4'!T34</f>
        <v>1</v>
      </c>
      <c r="S34" s="103">
        <f t="shared" si="2"/>
        <v>1</v>
      </c>
      <c r="T34" s="104"/>
      <c r="U34" s="202"/>
      <c r="V34" s="86"/>
      <c r="AC34" s="117">
        <f t="shared" si="0"/>
        <v>2.5</v>
      </c>
      <c r="AD34" s="118">
        <f t="shared" si="1"/>
        <v>2.5</v>
      </c>
    </row>
    <row r="35" spans="1:30" s="1" customFormat="1" ht="17.25" customHeight="1">
      <c r="A35" s="28">
        <v>14</v>
      </c>
      <c r="B35" s="196" t="s">
        <v>56</v>
      </c>
      <c r="C35" s="196"/>
      <c r="D35" s="196"/>
      <c r="E35" s="196"/>
      <c r="F35" s="196"/>
      <c r="G35" s="196"/>
      <c r="H35" s="196"/>
      <c r="I35" s="196"/>
      <c r="J35" s="62" t="s">
        <v>42</v>
      </c>
      <c r="K35" s="73"/>
      <c r="L35" s="73"/>
      <c r="M35" s="73"/>
      <c r="N35" s="71">
        <v>2.5</v>
      </c>
      <c r="O35" s="72">
        <f>'SEMANA 1'!T35</f>
        <v>1</v>
      </c>
      <c r="P35" s="72">
        <f>'SEMANA 2'!T35</f>
        <v>1</v>
      </c>
      <c r="Q35" s="72">
        <f>'SEMANA 3'!T35</f>
        <v>1</v>
      </c>
      <c r="R35" s="72">
        <f>'SEMANA 4'!T35</f>
        <v>1</v>
      </c>
      <c r="S35" s="103">
        <f t="shared" si="2"/>
        <v>1</v>
      </c>
      <c r="T35" s="104"/>
      <c r="U35" s="202"/>
      <c r="V35" s="86"/>
      <c r="AC35" s="117">
        <f t="shared" si="0"/>
        <v>2.5</v>
      </c>
      <c r="AD35" s="118">
        <f t="shared" si="1"/>
        <v>2.5</v>
      </c>
    </row>
    <row r="36" spans="1:30" s="1" customFormat="1" ht="17.25" customHeight="1">
      <c r="A36" s="28">
        <v>15</v>
      </c>
      <c r="B36" s="196" t="s">
        <v>57</v>
      </c>
      <c r="C36" s="196"/>
      <c r="D36" s="196"/>
      <c r="E36" s="196"/>
      <c r="F36" s="196"/>
      <c r="G36" s="196"/>
      <c r="H36" s="196"/>
      <c r="I36" s="196"/>
      <c r="J36" s="62" t="s">
        <v>42</v>
      </c>
      <c r="K36" s="73"/>
      <c r="L36" s="73"/>
      <c r="M36" s="73"/>
      <c r="N36" s="71">
        <v>2.5</v>
      </c>
      <c r="O36" s="72">
        <f>'SEMANA 1'!T36</f>
        <v>1</v>
      </c>
      <c r="P36" s="72">
        <f>'SEMANA 2'!T36</f>
        <v>1</v>
      </c>
      <c r="Q36" s="72">
        <f>'SEMANA 3'!T36</f>
        <v>1</v>
      </c>
      <c r="R36" s="72">
        <f>'SEMANA 4'!T36</f>
        <v>1</v>
      </c>
      <c r="S36" s="103">
        <f t="shared" si="2"/>
        <v>1</v>
      </c>
      <c r="T36" s="104"/>
      <c r="U36" s="202"/>
      <c r="V36" s="86"/>
      <c r="AC36" s="117">
        <f t="shared" si="0"/>
        <v>2.5</v>
      </c>
      <c r="AD36" s="118">
        <f t="shared" si="1"/>
        <v>2.5</v>
      </c>
    </row>
    <row r="37" spans="1:30" ht="17.25" customHeight="1">
      <c r="A37" s="29">
        <v>16</v>
      </c>
      <c r="B37" s="196" t="s">
        <v>58</v>
      </c>
      <c r="C37" s="196"/>
      <c r="D37" s="196"/>
      <c r="E37" s="196"/>
      <c r="F37" s="196"/>
      <c r="G37" s="196"/>
      <c r="H37" s="196"/>
      <c r="I37" s="196"/>
      <c r="J37" s="62" t="s">
        <v>42</v>
      </c>
      <c r="K37" s="74"/>
      <c r="L37" s="75"/>
      <c r="M37" s="76"/>
      <c r="N37" s="71">
        <v>2.5</v>
      </c>
      <c r="O37" s="72">
        <f>'SEMANA 1'!T37</f>
        <v>1</v>
      </c>
      <c r="P37" s="72">
        <f>'SEMANA 2'!T37</f>
        <v>1</v>
      </c>
      <c r="Q37" s="72">
        <f>'SEMANA 3'!T37</f>
        <v>1</v>
      </c>
      <c r="R37" s="72">
        <f>'SEMANA 4'!T37</f>
        <v>1</v>
      </c>
      <c r="S37" s="103">
        <f t="shared" si="2"/>
        <v>1</v>
      </c>
      <c r="T37" s="104"/>
      <c r="U37" s="202"/>
      <c r="V37" s="105"/>
      <c r="AC37" s="117">
        <f t="shared" si="0"/>
        <v>2.5</v>
      </c>
      <c r="AD37" s="118">
        <f t="shared" si="1"/>
        <v>2.5</v>
      </c>
    </row>
    <row r="38" spans="1:30" ht="17.25" customHeight="1">
      <c r="A38" s="29">
        <v>17</v>
      </c>
      <c r="B38" s="195" t="s">
        <v>59</v>
      </c>
      <c r="C38" s="195"/>
      <c r="D38" s="195"/>
      <c r="E38" s="195"/>
      <c r="F38" s="195"/>
      <c r="G38" s="195"/>
      <c r="H38" s="195"/>
      <c r="I38" s="195"/>
      <c r="J38" s="62" t="s">
        <v>42</v>
      </c>
      <c r="K38" s="75"/>
      <c r="L38" s="75"/>
      <c r="M38" s="76"/>
      <c r="N38" s="71">
        <v>2.5</v>
      </c>
      <c r="O38" s="72">
        <f>'SEMANA 1'!T38</f>
        <v>1</v>
      </c>
      <c r="P38" s="72">
        <f>'SEMANA 2'!T38</f>
        <v>1</v>
      </c>
      <c r="Q38" s="72">
        <f>'SEMANA 3'!T38</f>
        <v>1</v>
      </c>
      <c r="R38" s="72">
        <f>'SEMANA 4'!T38</f>
        <v>1</v>
      </c>
      <c r="S38" s="103">
        <f t="shared" si="2"/>
        <v>1</v>
      </c>
      <c r="T38" s="104"/>
      <c r="U38" s="202"/>
      <c r="V38" s="105"/>
      <c r="AC38" s="117">
        <f t="shared" si="0"/>
        <v>2.5</v>
      </c>
      <c r="AD38" s="118">
        <f t="shared" si="1"/>
        <v>2.5</v>
      </c>
    </row>
    <row r="39" spans="1:30" ht="17.25" customHeight="1">
      <c r="A39" s="29">
        <v>18</v>
      </c>
      <c r="B39" s="195" t="s">
        <v>60</v>
      </c>
      <c r="C39" s="195"/>
      <c r="D39" s="195"/>
      <c r="E39" s="195"/>
      <c r="F39" s="195"/>
      <c r="G39" s="195"/>
      <c r="H39" s="195"/>
      <c r="I39" s="195"/>
      <c r="J39" s="62" t="s">
        <v>42</v>
      </c>
      <c r="K39" s="75"/>
      <c r="L39" s="62"/>
      <c r="M39" s="75"/>
      <c r="N39" s="71">
        <v>2.5</v>
      </c>
      <c r="O39" s="72">
        <f>'SEMANA 1'!T39</f>
        <v>1</v>
      </c>
      <c r="P39" s="72">
        <f>'SEMANA 2'!T39</f>
        <v>1</v>
      </c>
      <c r="Q39" s="72">
        <f>'SEMANA 3'!T39</f>
        <v>1</v>
      </c>
      <c r="R39" s="72">
        <f>'SEMANA 4'!T39</f>
        <v>1</v>
      </c>
      <c r="S39" s="103">
        <f t="shared" si="2"/>
        <v>1</v>
      </c>
      <c r="T39" s="104"/>
      <c r="U39" s="202"/>
      <c r="V39" s="105"/>
      <c r="AC39" s="117">
        <f t="shared" si="0"/>
        <v>2.5</v>
      </c>
      <c r="AD39" s="118">
        <f t="shared" si="1"/>
        <v>2.5</v>
      </c>
    </row>
    <row r="40" spans="1:30" ht="17.25" customHeight="1">
      <c r="A40" s="29">
        <v>19</v>
      </c>
      <c r="B40" s="195" t="s">
        <v>61</v>
      </c>
      <c r="C40" s="195"/>
      <c r="D40" s="195"/>
      <c r="E40" s="195"/>
      <c r="F40" s="195"/>
      <c r="G40" s="195"/>
      <c r="H40" s="195"/>
      <c r="I40" s="195"/>
      <c r="J40" s="62" t="s">
        <v>42</v>
      </c>
      <c r="K40" s="75"/>
      <c r="L40" s="75"/>
      <c r="M40" s="75"/>
      <c r="N40" s="71">
        <v>2.5</v>
      </c>
      <c r="O40" s="72">
        <f>'SEMANA 1'!T40</f>
        <v>1</v>
      </c>
      <c r="P40" s="72">
        <f>'SEMANA 2'!T40</f>
        <v>1</v>
      </c>
      <c r="Q40" s="72">
        <f>'SEMANA 3'!T40</f>
        <v>1</v>
      </c>
      <c r="R40" s="72">
        <f>'SEMANA 4'!T40</f>
        <v>1</v>
      </c>
      <c r="S40" s="103">
        <f t="shared" si="2"/>
        <v>1</v>
      </c>
      <c r="T40" s="104"/>
      <c r="U40" s="202"/>
      <c r="V40" s="105"/>
      <c r="AC40" s="117">
        <f t="shared" si="0"/>
        <v>2.5</v>
      </c>
      <c r="AD40" s="118">
        <f t="shared" si="1"/>
        <v>2.5</v>
      </c>
    </row>
    <row r="41" spans="1:30" ht="17.25" customHeight="1">
      <c r="A41" s="29">
        <v>20</v>
      </c>
      <c r="B41" s="195" t="s">
        <v>62</v>
      </c>
      <c r="C41" s="195"/>
      <c r="D41" s="195"/>
      <c r="E41" s="195"/>
      <c r="F41" s="195"/>
      <c r="G41" s="195"/>
      <c r="H41" s="195"/>
      <c r="I41" s="195"/>
      <c r="J41" s="62" t="s">
        <v>42</v>
      </c>
      <c r="K41" s="75"/>
      <c r="L41" s="75"/>
      <c r="M41" s="75"/>
      <c r="N41" s="71">
        <v>2.5</v>
      </c>
      <c r="O41" s="72">
        <f>'SEMANA 1'!T41</f>
        <v>1</v>
      </c>
      <c r="P41" s="72">
        <f>'SEMANA 2'!T41</f>
        <v>1</v>
      </c>
      <c r="Q41" s="72">
        <f>'SEMANA 3'!T41</f>
        <v>1</v>
      </c>
      <c r="R41" s="72">
        <f>'SEMANA 4'!T41</f>
        <v>1</v>
      </c>
      <c r="S41" s="103">
        <f t="shared" si="2"/>
        <v>1</v>
      </c>
      <c r="T41" s="104"/>
      <c r="U41" s="202"/>
      <c r="V41" s="105"/>
      <c r="AC41" s="117">
        <f t="shared" si="0"/>
        <v>2.5</v>
      </c>
      <c r="AD41" s="118">
        <f t="shared" si="1"/>
        <v>2.5</v>
      </c>
    </row>
    <row r="42" spans="1:30" ht="17.25" customHeight="1">
      <c r="A42" s="29">
        <v>21</v>
      </c>
      <c r="B42" s="195" t="s">
        <v>63</v>
      </c>
      <c r="C42" s="195"/>
      <c r="D42" s="195"/>
      <c r="E42" s="195"/>
      <c r="F42" s="195"/>
      <c r="G42" s="195"/>
      <c r="H42" s="195"/>
      <c r="I42" s="195"/>
      <c r="J42" s="62" t="s">
        <v>42</v>
      </c>
      <c r="K42" s="62"/>
      <c r="L42" s="75"/>
      <c r="M42" s="75"/>
      <c r="N42" s="71">
        <v>2.5</v>
      </c>
      <c r="O42" s="72">
        <f>'SEMANA 1'!T42</f>
        <v>1</v>
      </c>
      <c r="P42" s="72">
        <f>'SEMANA 2'!T42</f>
        <v>1</v>
      </c>
      <c r="Q42" s="72">
        <f>'SEMANA 3'!T42</f>
        <v>1</v>
      </c>
      <c r="R42" s="72">
        <f>'SEMANA 4'!T42</f>
        <v>1</v>
      </c>
      <c r="S42" s="103">
        <f t="shared" si="2"/>
        <v>1</v>
      </c>
      <c r="T42" s="104"/>
      <c r="U42" s="202"/>
      <c r="V42" s="105"/>
      <c r="AC42" s="117">
        <f t="shared" si="0"/>
        <v>2.5</v>
      </c>
      <c r="AD42" s="118">
        <f t="shared" si="1"/>
        <v>2.5</v>
      </c>
    </row>
    <row r="43" spans="1:30" ht="17.25" customHeight="1">
      <c r="A43" s="29">
        <v>22</v>
      </c>
      <c r="B43" s="195" t="s">
        <v>64</v>
      </c>
      <c r="C43" s="195"/>
      <c r="D43" s="195"/>
      <c r="E43" s="195"/>
      <c r="F43" s="195"/>
      <c r="G43" s="195"/>
      <c r="H43" s="195"/>
      <c r="I43" s="195"/>
      <c r="J43" s="62" t="s">
        <v>42</v>
      </c>
      <c r="K43" s="75"/>
      <c r="L43" s="74"/>
      <c r="M43" s="75"/>
      <c r="N43" s="71">
        <v>2.5</v>
      </c>
      <c r="O43" s="72">
        <f>'SEMANA 1'!T43</f>
        <v>1</v>
      </c>
      <c r="P43" s="72">
        <f>'SEMANA 2'!T43</f>
        <v>1</v>
      </c>
      <c r="Q43" s="72">
        <f>'SEMANA 3'!T43</f>
        <v>1</v>
      </c>
      <c r="R43" s="72">
        <f>'SEMANA 4'!T43</f>
        <v>1</v>
      </c>
      <c r="S43" s="103">
        <f t="shared" si="2"/>
        <v>1</v>
      </c>
      <c r="T43" s="104"/>
      <c r="U43" s="202"/>
      <c r="V43" s="105"/>
      <c r="AC43" s="117">
        <f t="shared" si="0"/>
        <v>2.5</v>
      </c>
      <c r="AD43" s="118">
        <f t="shared" si="1"/>
        <v>2.5</v>
      </c>
    </row>
    <row r="44" spans="1:30" ht="17.25" customHeight="1">
      <c r="A44" s="29">
        <v>23</v>
      </c>
      <c r="B44" s="195" t="s">
        <v>65</v>
      </c>
      <c r="C44" s="195"/>
      <c r="D44" s="195"/>
      <c r="E44" s="195"/>
      <c r="F44" s="195"/>
      <c r="G44" s="195"/>
      <c r="H44" s="195"/>
      <c r="I44" s="195"/>
      <c r="J44" s="62" t="s">
        <v>42</v>
      </c>
      <c r="K44" s="75"/>
      <c r="L44" s="75"/>
      <c r="M44" s="75"/>
      <c r="N44" s="71">
        <v>2.5</v>
      </c>
      <c r="O44" s="72">
        <f>'SEMANA 1'!T44</f>
        <v>1</v>
      </c>
      <c r="P44" s="72">
        <f>'SEMANA 2'!T44</f>
        <v>1</v>
      </c>
      <c r="Q44" s="72">
        <f>'SEMANA 3'!T44</f>
        <v>1</v>
      </c>
      <c r="R44" s="72">
        <f>'SEMANA 4'!T44</f>
        <v>1</v>
      </c>
      <c r="S44" s="103">
        <f t="shared" si="2"/>
        <v>1</v>
      </c>
      <c r="T44" s="104"/>
      <c r="U44" s="202"/>
      <c r="V44" s="105"/>
      <c r="AC44" s="117">
        <f t="shared" si="0"/>
        <v>2.5</v>
      </c>
      <c r="AD44" s="118">
        <f t="shared" si="1"/>
        <v>2.5</v>
      </c>
    </row>
    <row r="45" spans="1:30" ht="31" customHeight="1">
      <c r="A45" s="29">
        <v>24</v>
      </c>
      <c r="B45" s="196" t="s">
        <v>66</v>
      </c>
      <c r="C45" s="196"/>
      <c r="D45" s="196"/>
      <c r="E45" s="196"/>
      <c r="F45" s="196"/>
      <c r="G45" s="196"/>
      <c r="H45" s="196"/>
      <c r="I45" s="196"/>
      <c r="J45" s="75" t="s">
        <v>42</v>
      </c>
      <c r="K45" s="62"/>
      <c r="L45" s="75"/>
      <c r="M45" s="75"/>
      <c r="N45" s="71">
        <v>2.5</v>
      </c>
      <c r="O45" s="72">
        <f>'SEMANA 1'!T45</f>
        <v>1</v>
      </c>
      <c r="P45" s="72">
        <f>'SEMANA 2'!T45</f>
        <v>1</v>
      </c>
      <c r="Q45" s="72">
        <f>'SEMANA 3'!T45</f>
        <v>1</v>
      </c>
      <c r="R45" s="72">
        <f>'SEMANA 4'!T45</f>
        <v>1</v>
      </c>
      <c r="S45" s="103">
        <f t="shared" si="2"/>
        <v>1</v>
      </c>
      <c r="T45" s="104"/>
      <c r="U45" s="202"/>
      <c r="V45" s="105"/>
      <c r="AC45" s="117">
        <f t="shared" si="0"/>
        <v>2.5</v>
      </c>
      <c r="AD45" s="118">
        <f t="shared" si="1"/>
        <v>2.5</v>
      </c>
    </row>
    <row r="46" spans="1:30" ht="24.75" customHeight="1">
      <c r="A46" s="30">
        <v>25</v>
      </c>
      <c r="B46" s="197" t="s">
        <v>67</v>
      </c>
      <c r="C46" s="197"/>
      <c r="D46" s="197"/>
      <c r="E46" s="197"/>
      <c r="F46" s="197"/>
      <c r="G46" s="197"/>
      <c r="H46" s="197"/>
      <c r="I46" s="197"/>
      <c r="J46" s="62" t="s">
        <v>42</v>
      </c>
      <c r="K46" s="77"/>
      <c r="L46" s="77"/>
      <c r="M46" s="77"/>
      <c r="N46" s="71">
        <v>2.5</v>
      </c>
      <c r="O46" s="72">
        <f>'SEMANA 1'!T46</f>
        <v>1</v>
      </c>
      <c r="P46" s="72">
        <f>'SEMANA 2'!T46</f>
        <v>1</v>
      </c>
      <c r="Q46" s="72">
        <f>'SEMANA 3'!T46</f>
        <v>1</v>
      </c>
      <c r="R46" s="72">
        <f>'SEMANA 4'!T46</f>
        <v>1</v>
      </c>
      <c r="S46" s="103">
        <f t="shared" si="2"/>
        <v>1</v>
      </c>
      <c r="T46" s="106"/>
      <c r="U46" s="204"/>
      <c r="V46" s="105"/>
      <c r="AC46" s="117">
        <f t="shared" si="0"/>
        <v>2.5</v>
      </c>
      <c r="AD46" s="118">
        <f t="shared" si="1"/>
        <v>2.5</v>
      </c>
    </row>
    <row r="47" spans="1:30" ht="24.75" customHeight="1">
      <c r="A47" s="219" t="s">
        <v>68</v>
      </c>
      <c r="B47" s="220"/>
      <c r="C47" s="220"/>
      <c r="D47" s="220"/>
      <c r="E47" s="220"/>
      <c r="F47" s="220"/>
      <c r="G47" s="220"/>
      <c r="H47" s="220"/>
      <c r="I47" s="220"/>
      <c r="J47" s="220"/>
      <c r="K47" s="220"/>
      <c r="L47" s="220"/>
      <c r="M47" s="220"/>
      <c r="N47" s="220"/>
      <c r="O47" s="220"/>
      <c r="P47" s="220"/>
      <c r="Q47" s="220"/>
      <c r="R47" s="220"/>
      <c r="S47" s="220"/>
      <c r="T47" s="32"/>
      <c r="U47" s="102">
        <v>20</v>
      </c>
      <c r="V47" s="105"/>
      <c r="AC47" s="117" t="b">
        <f t="shared" si="0"/>
        <v>0</v>
      </c>
      <c r="AD47" s="118">
        <f t="shared" si="1"/>
        <v>0</v>
      </c>
    </row>
    <row r="48" spans="1:30" ht="51" customHeight="1">
      <c r="A48" s="31">
        <v>26</v>
      </c>
      <c r="B48" s="221" t="s">
        <v>69</v>
      </c>
      <c r="C48" s="221"/>
      <c r="D48" s="221"/>
      <c r="E48" s="221"/>
      <c r="F48" s="221"/>
      <c r="G48" s="221"/>
      <c r="H48" s="221"/>
      <c r="I48" s="221"/>
      <c r="J48" s="62" t="s">
        <v>42</v>
      </c>
      <c r="K48" s="62"/>
      <c r="L48" s="62"/>
      <c r="M48" s="62"/>
      <c r="N48" s="78">
        <v>4</v>
      </c>
      <c r="O48" s="72">
        <f>'SEMANA 1'!T48</f>
        <v>1</v>
      </c>
      <c r="P48" s="72">
        <f>'SEMANA 2'!O48</f>
        <v>1</v>
      </c>
      <c r="Q48" s="72">
        <f>'SEMANA 3'!T48</f>
        <v>1</v>
      </c>
      <c r="R48" s="72">
        <f>'SEMANA 4'!S48</f>
        <v>1</v>
      </c>
      <c r="S48" s="107">
        <f>AVERAGE(O48:R48)</f>
        <v>1</v>
      </c>
      <c r="T48" s="108"/>
      <c r="U48" s="205">
        <f>IF(SUM(N48:N52)&lt;&gt;U47,"AJUSTAR PONDERACION",IF(SUM(AD48:AD52)=0,"",IF(SUM(AC48:AC52)=U47,IF(SUM(N48:N52)=U47,SUM(AD48:AD52),"Ajustar ponderacion"),"Ajustar ponderacion")))</f>
        <v>20</v>
      </c>
      <c r="V48" s="105"/>
      <c r="AC48" s="117">
        <f t="shared" si="0"/>
        <v>4</v>
      </c>
      <c r="AD48" s="118">
        <f t="shared" si="1"/>
        <v>4</v>
      </c>
    </row>
    <row r="49" spans="1:30" ht="46" customHeight="1">
      <c r="A49" s="29">
        <v>27</v>
      </c>
      <c r="B49" s="196" t="s">
        <v>70</v>
      </c>
      <c r="C49" s="196"/>
      <c r="D49" s="196"/>
      <c r="E49" s="196"/>
      <c r="F49" s="196"/>
      <c r="G49" s="196"/>
      <c r="H49" s="196"/>
      <c r="I49" s="196"/>
      <c r="J49" s="75" t="s">
        <v>42</v>
      </c>
      <c r="K49" s="75"/>
      <c r="L49" s="75"/>
      <c r="M49" s="75"/>
      <c r="N49" s="78">
        <v>4</v>
      </c>
      <c r="O49" s="72">
        <f>'SEMANA 1'!T49</f>
        <v>1</v>
      </c>
      <c r="P49" s="72">
        <f>'SEMANA 2'!O49</f>
        <v>1</v>
      </c>
      <c r="Q49" s="72">
        <f>'SEMANA 3'!T49</f>
        <v>1</v>
      </c>
      <c r="R49" s="72">
        <f>'SEMANA 4'!S49</f>
        <v>1</v>
      </c>
      <c r="S49" s="103">
        <f>AVERAGE(O49:R49)</f>
        <v>1</v>
      </c>
      <c r="T49" s="104"/>
      <c r="U49" s="206"/>
      <c r="V49" s="105"/>
      <c r="AC49" s="117">
        <f t="shared" si="0"/>
        <v>4</v>
      </c>
      <c r="AD49" s="118">
        <f t="shared" si="1"/>
        <v>4</v>
      </c>
    </row>
    <row r="50" spans="1:30" ht="34" customHeight="1">
      <c r="A50" s="29">
        <v>28</v>
      </c>
      <c r="B50" s="196" t="s">
        <v>71</v>
      </c>
      <c r="C50" s="196"/>
      <c r="D50" s="196"/>
      <c r="E50" s="196"/>
      <c r="F50" s="196"/>
      <c r="G50" s="196"/>
      <c r="H50" s="196"/>
      <c r="I50" s="196"/>
      <c r="J50" s="75" t="s">
        <v>42</v>
      </c>
      <c r="K50" s="75"/>
      <c r="L50" s="75"/>
      <c r="M50" s="75"/>
      <c r="N50" s="78">
        <v>4</v>
      </c>
      <c r="O50" s="72">
        <v>1</v>
      </c>
      <c r="P50" s="72">
        <v>1</v>
      </c>
      <c r="Q50" s="72">
        <v>1</v>
      </c>
      <c r="R50" s="72">
        <v>1</v>
      </c>
      <c r="S50" s="103">
        <f>AVERAGE(O50:R50)</f>
        <v>1</v>
      </c>
      <c r="T50" s="104"/>
      <c r="U50" s="206"/>
      <c r="V50" s="105"/>
      <c r="AC50" s="117">
        <f t="shared" si="0"/>
        <v>4</v>
      </c>
      <c r="AD50" s="118">
        <f t="shared" si="1"/>
        <v>4</v>
      </c>
    </row>
    <row r="51" spans="1:30" ht="24.75" customHeight="1">
      <c r="A51" s="29">
        <v>29</v>
      </c>
      <c r="B51" s="196" t="s">
        <v>72</v>
      </c>
      <c r="C51" s="196"/>
      <c r="D51" s="196"/>
      <c r="E51" s="196"/>
      <c r="F51" s="196"/>
      <c r="G51" s="196"/>
      <c r="H51" s="196"/>
      <c r="I51" s="196"/>
      <c r="J51" s="75" t="s">
        <v>42</v>
      </c>
      <c r="K51" s="75"/>
      <c r="L51" s="75"/>
      <c r="M51" s="75"/>
      <c r="N51" s="78">
        <v>4</v>
      </c>
      <c r="O51" s="72">
        <f>'SEMANA 1'!T51</f>
        <v>1</v>
      </c>
      <c r="P51" s="72">
        <f>'SEMANA 2'!O51</f>
        <v>1</v>
      </c>
      <c r="Q51" s="72">
        <f>'SEMANA 3'!T51</f>
        <v>1</v>
      </c>
      <c r="R51" s="72">
        <f>'SEMANA 4'!S51</f>
        <v>1</v>
      </c>
      <c r="S51" s="103">
        <f>AVERAGE(O51:R51)</f>
        <v>1</v>
      </c>
      <c r="T51" s="104"/>
      <c r="U51" s="206"/>
      <c r="V51" s="105"/>
      <c r="AC51" s="117">
        <f t="shared" si="0"/>
        <v>4</v>
      </c>
      <c r="AD51" s="118">
        <f t="shared" si="1"/>
        <v>4</v>
      </c>
    </row>
    <row r="52" spans="1:30" ht="24.75" customHeight="1">
      <c r="A52" s="30">
        <v>27</v>
      </c>
      <c r="B52" s="197" t="s">
        <v>73</v>
      </c>
      <c r="C52" s="197"/>
      <c r="D52" s="197"/>
      <c r="E52" s="197"/>
      <c r="F52" s="197"/>
      <c r="G52" s="197"/>
      <c r="H52" s="197"/>
      <c r="I52" s="197"/>
      <c r="J52" s="77" t="s">
        <v>42</v>
      </c>
      <c r="K52" s="77"/>
      <c r="L52" s="77"/>
      <c r="M52" s="77"/>
      <c r="N52" s="78">
        <v>4</v>
      </c>
      <c r="O52" s="72">
        <f>'SEMANA 1'!T52</f>
        <v>1</v>
      </c>
      <c r="P52" s="72">
        <f>'SEMANA 2'!O52</f>
        <v>1</v>
      </c>
      <c r="Q52" s="72">
        <f>'SEMANA 3'!T52</f>
        <v>1</v>
      </c>
      <c r="R52" s="72">
        <f>'SEMANA 4'!S52</f>
        <v>1</v>
      </c>
      <c r="S52" s="110">
        <f>AVERAGE(O52:R52)</f>
        <v>1</v>
      </c>
      <c r="T52" s="104"/>
      <c r="U52" s="206"/>
      <c r="V52" s="105"/>
      <c r="AC52" s="117">
        <f t="shared" si="0"/>
        <v>4</v>
      </c>
      <c r="AD52" s="118">
        <f t="shared" si="1"/>
        <v>4</v>
      </c>
    </row>
    <row r="53" spans="1:30" ht="24.75" customHeight="1">
      <c r="A53" s="211" t="s">
        <v>74</v>
      </c>
      <c r="B53" s="212"/>
      <c r="C53" s="212"/>
      <c r="D53" s="212"/>
      <c r="E53" s="212"/>
      <c r="F53" s="212"/>
      <c r="G53" s="212"/>
      <c r="H53" s="212"/>
      <c r="I53" s="212"/>
      <c r="J53" s="212"/>
      <c r="K53" s="212"/>
      <c r="L53" s="212"/>
      <c r="M53" s="212"/>
      <c r="N53" s="212"/>
      <c r="O53" s="212"/>
      <c r="P53" s="212"/>
      <c r="Q53" s="212"/>
      <c r="R53" s="212"/>
      <c r="S53" s="212"/>
      <c r="T53" s="32"/>
      <c r="U53" s="111">
        <v>10</v>
      </c>
      <c r="V53" s="105"/>
      <c r="AC53" s="117" t="b">
        <f t="shared" si="0"/>
        <v>0</v>
      </c>
      <c r="AD53" s="118">
        <f t="shared" si="1"/>
        <v>0</v>
      </c>
    </row>
    <row r="54" spans="1:30" ht="24.75" customHeight="1">
      <c r="A54" s="33">
        <v>28</v>
      </c>
      <c r="B54" s="213" t="s">
        <v>75</v>
      </c>
      <c r="C54" s="213"/>
      <c r="D54" s="213"/>
      <c r="E54" s="213"/>
      <c r="F54" s="213"/>
      <c r="G54" s="213"/>
      <c r="H54" s="213"/>
      <c r="I54" s="213"/>
      <c r="J54" s="79" t="s">
        <v>42</v>
      </c>
      <c r="K54" s="79"/>
      <c r="L54" s="79"/>
      <c r="M54" s="79"/>
      <c r="N54" s="80">
        <v>10</v>
      </c>
      <c r="O54" s="72">
        <v>1</v>
      </c>
      <c r="P54" s="81">
        <f>'SEMANA 2'!O54</f>
        <v>1</v>
      </c>
      <c r="Q54" s="81">
        <f>'SEMANA 3'!T54</f>
        <v>1</v>
      </c>
      <c r="R54" s="81">
        <f>'SEMANA 4'!S54</f>
        <v>1</v>
      </c>
      <c r="S54" s="112">
        <f>AVERAGE(O54:R54)</f>
        <v>1</v>
      </c>
      <c r="T54" s="104"/>
      <c r="U54" s="109">
        <f>IF(SUM(N54)&lt;&gt;U53,"ajustar ponderacion",IF(SUM(AD54)=0,"",IF(SUM(AC54)=U53,IF(SUM(N54)=U53,SUM(U53),"ajustar ponderacion"),"ajustar ponderacion")))</f>
        <v>10</v>
      </c>
      <c r="V54" s="105"/>
      <c r="AC54" s="117">
        <f t="shared" si="0"/>
        <v>10</v>
      </c>
      <c r="AD54" s="119">
        <f t="shared" si="1"/>
        <v>10</v>
      </c>
    </row>
    <row r="55" spans="1:30" ht="17.25" customHeight="1">
      <c r="A55" s="214" t="s">
        <v>76</v>
      </c>
      <c r="B55" s="215"/>
      <c r="C55" s="215"/>
      <c r="D55" s="215"/>
      <c r="E55" s="215"/>
      <c r="F55" s="215"/>
      <c r="G55" s="215"/>
      <c r="H55" s="215"/>
      <c r="I55" s="215"/>
      <c r="J55" s="215"/>
      <c r="K55" s="215"/>
      <c r="L55" s="215"/>
      <c r="M55" s="215"/>
      <c r="N55" s="215"/>
      <c r="O55" s="215"/>
      <c r="P55" s="215"/>
      <c r="Q55" s="215"/>
      <c r="R55" s="215"/>
      <c r="S55" s="216"/>
      <c r="T55" s="113"/>
      <c r="U55" s="114">
        <f>IFERROR(U21+U27+U48+U54,"revise el formulario")</f>
        <v>97.375</v>
      </c>
      <c r="V55" s="105"/>
      <c r="AC55" s="117"/>
      <c r="AD55" s="118"/>
    </row>
    <row r="56" spans="1:30" ht="17.25" customHeight="1">
      <c r="A56" s="268">
        <v>29</v>
      </c>
      <c r="B56" s="286" t="s">
        <v>77</v>
      </c>
      <c r="C56" s="250"/>
      <c r="D56" s="254"/>
      <c r="E56" s="255"/>
      <c r="F56" s="255"/>
      <c r="G56" s="255"/>
      <c r="H56" s="255"/>
      <c r="I56" s="255"/>
      <c r="J56" s="255"/>
      <c r="K56" s="255"/>
      <c r="L56" s="255"/>
      <c r="M56" s="255"/>
      <c r="N56" s="255"/>
      <c r="O56" s="255"/>
      <c r="P56" s="255"/>
      <c r="Q56" s="255"/>
      <c r="R56" s="255"/>
      <c r="S56" s="255"/>
      <c r="T56" s="255"/>
      <c r="U56" s="256"/>
      <c r="V56" s="105"/>
      <c r="AC56" s="120"/>
      <c r="AD56" s="118"/>
    </row>
    <row r="57" spans="1:30" s="2" customFormat="1" ht="58" customHeight="1">
      <c r="A57" s="269"/>
      <c r="B57" s="287"/>
      <c r="C57" s="252"/>
      <c r="D57" s="257"/>
      <c r="E57" s="258"/>
      <c r="F57" s="258"/>
      <c r="G57" s="258"/>
      <c r="H57" s="258"/>
      <c r="I57" s="258"/>
      <c r="J57" s="258"/>
      <c r="K57" s="258"/>
      <c r="L57" s="258"/>
      <c r="M57" s="258"/>
      <c r="N57" s="258"/>
      <c r="O57" s="258"/>
      <c r="P57" s="258"/>
      <c r="Q57" s="258"/>
      <c r="R57" s="258"/>
      <c r="S57" s="258"/>
      <c r="T57" s="258"/>
      <c r="U57" s="259"/>
      <c r="V57" s="115"/>
      <c r="AC57" s="116"/>
      <c r="AD57" s="118"/>
    </row>
    <row r="58" spans="1:30" s="2" customFormat="1">
      <c r="A58" s="34" t="s">
        <v>79</v>
      </c>
      <c r="B58" s="35"/>
      <c r="C58" s="35"/>
      <c r="D58" s="35"/>
      <c r="E58" s="35"/>
      <c r="F58" s="35"/>
      <c r="G58" s="35"/>
      <c r="H58" s="35"/>
      <c r="I58" s="35"/>
      <c r="J58" s="35"/>
      <c r="K58" s="35"/>
      <c r="L58" s="35"/>
      <c r="M58" s="35"/>
      <c r="N58" s="82"/>
      <c r="O58" s="82"/>
      <c r="P58" s="82"/>
      <c r="Q58" s="82"/>
      <c r="R58" s="82"/>
      <c r="S58" s="82"/>
      <c r="T58" s="82"/>
      <c r="U58" s="115"/>
      <c r="V58" s="115"/>
      <c r="AC58" s="116"/>
      <c r="AD58" s="118"/>
    </row>
    <row r="59" spans="1:30">
      <c r="A59" s="36"/>
      <c r="B59" s="37"/>
      <c r="C59" s="37"/>
      <c r="D59" s="37"/>
      <c r="E59" s="37"/>
      <c r="F59" s="37"/>
      <c r="G59" s="37"/>
      <c r="H59" s="37"/>
      <c r="I59" s="37"/>
      <c r="J59" s="37"/>
      <c r="K59" s="37"/>
      <c r="L59" s="37"/>
      <c r="M59" s="37"/>
      <c r="N59" s="41"/>
      <c r="O59" s="41"/>
      <c r="P59" s="41"/>
      <c r="Q59" s="41"/>
      <c r="R59" s="41"/>
      <c r="S59" s="41"/>
      <c r="T59" s="41"/>
      <c r="U59" s="105"/>
      <c r="V59" s="105"/>
      <c r="AC59" s="118"/>
      <c r="AD59" s="118"/>
    </row>
    <row r="60" spans="1:30">
      <c r="A60" s="36"/>
      <c r="B60" s="37"/>
      <c r="C60" s="37"/>
      <c r="D60" s="37"/>
      <c r="E60" s="37"/>
      <c r="F60" s="37"/>
      <c r="G60" s="37"/>
      <c r="H60" s="37"/>
      <c r="I60" s="37"/>
      <c r="J60" s="37"/>
      <c r="K60" s="37"/>
      <c r="L60" s="37"/>
      <c r="M60" s="37"/>
      <c r="N60" s="41"/>
      <c r="O60" s="41"/>
      <c r="P60" s="41"/>
      <c r="Q60" s="41"/>
      <c r="R60" s="41"/>
      <c r="S60" s="41"/>
      <c r="T60" s="41"/>
      <c r="U60" s="105"/>
      <c r="V60" s="105"/>
    </row>
    <row r="61" spans="1:30">
      <c r="A61" s="36"/>
      <c r="B61" s="37"/>
      <c r="C61" s="37"/>
      <c r="D61" s="37"/>
      <c r="E61" s="37"/>
      <c r="F61" s="37"/>
      <c r="G61" s="37"/>
      <c r="H61" s="37"/>
      <c r="I61" s="37"/>
      <c r="J61" s="37"/>
      <c r="K61" s="37"/>
      <c r="L61" s="37"/>
      <c r="M61" s="37"/>
      <c r="N61" s="41"/>
      <c r="O61" s="41"/>
      <c r="P61" s="41"/>
      <c r="Q61" s="41"/>
      <c r="R61" s="41"/>
      <c r="S61" s="41"/>
      <c r="T61" s="41"/>
      <c r="U61" s="105"/>
      <c r="V61" s="105"/>
    </row>
    <row r="62" spans="1:30">
      <c r="A62" s="36"/>
      <c r="B62" s="37"/>
      <c r="C62" s="37"/>
      <c r="D62" s="37"/>
      <c r="E62" s="37"/>
      <c r="F62" s="37"/>
      <c r="G62" s="37"/>
      <c r="H62" s="37"/>
      <c r="I62" s="37"/>
      <c r="J62" s="37"/>
      <c r="K62" s="37"/>
      <c r="L62" s="37"/>
      <c r="M62" s="37"/>
      <c r="N62" s="41"/>
      <c r="O62" s="41"/>
      <c r="P62" s="41"/>
      <c r="Q62" s="41"/>
      <c r="R62" s="41"/>
      <c r="S62" s="41"/>
      <c r="T62" s="41"/>
      <c r="U62" s="105"/>
      <c r="V62" s="105"/>
    </row>
    <row r="63" spans="1:30">
      <c r="A63" s="38"/>
      <c r="B63" s="217"/>
      <c r="C63" s="217"/>
      <c r="D63" s="217"/>
      <c r="E63" s="217"/>
      <c r="F63" s="40"/>
      <c r="G63" s="41"/>
      <c r="H63" s="41"/>
      <c r="I63" s="218"/>
      <c r="J63" s="218"/>
      <c r="K63" s="218"/>
      <c r="L63" s="41"/>
      <c r="M63" s="41"/>
      <c r="N63" s="41"/>
      <c r="O63" s="41"/>
      <c r="P63" s="41"/>
      <c r="Q63" s="41"/>
      <c r="R63" s="41"/>
      <c r="S63" s="41"/>
      <c r="T63" s="41"/>
      <c r="U63" s="105"/>
      <c r="V63" s="105"/>
    </row>
    <row r="64" spans="1:30">
      <c r="A64" s="38"/>
      <c r="B64" s="39" t="s">
        <v>80</v>
      </c>
      <c r="C64" s="42"/>
      <c r="D64" s="42"/>
      <c r="E64" s="42"/>
      <c r="F64" s="40"/>
      <c r="G64" s="41"/>
      <c r="H64" s="41"/>
      <c r="I64" s="207" t="s">
        <v>81</v>
      </c>
      <c r="J64" s="207"/>
      <c r="K64" s="207"/>
      <c r="L64" s="207"/>
      <c r="M64" s="41"/>
      <c r="N64" s="41"/>
      <c r="O64" s="41"/>
      <c r="P64" s="41"/>
      <c r="Q64" s="41"/>
      <c r="R64" s="41"/>
      <c r="S64" s="41"/>
      <c r="T64" s="41"/>
      <c r="U64" s="105"/>
      <c r="V64" s="105"/>
    </row>
    <row r="65" spans="1:22" ht="15">
      <c r="A65" s="38"/>
      <c r="B65" s="208" t="s">
        <v>85</v>
      </c>
      <c r="C65" s="209"/>
      <c r="D65" s="209"/>
      <c r="E65" s="209"/>
      <c r="F65" s="37"/>
      <c r="G65" s="121"/>
      <c r="H65" s="121"/>
      <c r="I65" s="208" t="s">
        <v>82</v>
      </c>
      <c r="J65" s="209"/>
      <c r="K65" s="209"/>
      <c r="L65" s="209"/>
      <c r="M65" s="125"/>
      <c r="N65" s="41"/>
      <c r="O65" s="41"/>
      <c r="P65" s="41"/>
      <c r="Q65" s="41"/>
      <c r="R65" s="41"/>
      <c r="S65" s="41"/>
      <c r="T65" s="41"/>
      <c r="U65" s="105"/>
      <c r="V65" s="105"/>
    </row>
    <row r="66" spans="1:22" ht="15">
      <c r="A66" s="38"/>
      <c r="B66" s="210" t="s">
        <v>83</v>
      </c>
      <c r="C66" s="209"/>
      <c r="D66" s="209"/>
      <c r="E66" s="209"/>
      <c r="F66" s="37"/>
      <c r="G66" s="121"/>
      <c r="H66" s="121"/>
      <c r="I66" s="210" t="s">
        <v>84</v>
      </c>
      <c r="J66" s="209"/>
      <c r="K66" s="209"/>
      <c r="L66" s="209"/>
      <c r="M66" s="125"/>
      <c r="N66" s="41"/>
      <c r="O66" s="41"/>
      <c r="P66" s="41"/>
      <c r="Q66" s="41"/>
      <c r="R66" s="41"/>
      <c r="S66" s="41"/>
      <c r="T66" s="41"/>
      <c r="U66" s="105"/>
      <c r="V66" s="105"/>
    </row>
    <row r="67" spans="1:22" ht="15">
      <c r="A67" s="122"/>
      <c r="B67" s="198"/>
      <c r="C67" s="198"/>
      <c r="D67" s="198"/>
      <c r="E67" s="198"/>
      <c r="F67" s="123"/>
      <c r="G67" s="124"/>
      <c r="H67" s="124"/>
      <c r="I67" s="198"/>
      <c r="J67" s="198"/>
      <c r="K67" s="198"/>
      <c r="L67" s="124"/>
      <c r="M67" s="124"/>
      <c r="N67" s="126"/>
      <c r="O67" s="126"/>
      <c r="P67" s="126"/>
      <c r="Q67" s="126"/>
      <c r="R67" s="126"/>
      <c r="S67" s="126"/>
      <c r="T67" s="126"/>
      <c r="U67" s="127"/>
      <c r="V67" s="127"/>
    </row>
  </sheetData>
  <mergeCells count="83">
    <mergeCell ref="N5:Q5"/>
    <mergeCell ref="S5:U5"/>
    <mergeCell ref="A8:D8"/>
    <mergeCell ref="G8:H8"/>
    <mergeCell ref="I8:J8"/>
    <mergeCell ref="Q8:R8"/>
    <mergeCell ref="U8:V8"/>
    <mergeCell ref="A10:C10"/>
    <mergeCell ref="D10:I10"/>
    <mergeCell ref="A11:C11"/>
    <mergeCell ref="D11:I11"/>
    <mergeCell ref="A12:C12"/>
    <mergeCell ref="D12:I12"/>
    <mergeCell ref="A13:C13"/>
    <mergeCell ref="D13:I13"/>
    <mergeCell ref="A14:C14"/>
    <mergeCell ref="D14:I14"/>
    <mergeCell ref="L14:M14"/>
    <mergeCell ref="A15:C15"/>
    <mergeCell ref="D15:I15"/>
    <mergeCell ref="L15:M15"/>
    <mergeCell ref="A16:C16"/>
    <mergeCell ref="D16:I16"/>
    <mergeCell ref="A17:C17"/>
    <mergeCell ref="D17:I17"/>
    <mergeCell ref="B19:I19"/>
    <mergeCell ref="A20:S20"/>
    <mergeCell ref="B21:I21"/>
    <mergeCell ref="B22:I22"/>
    <mergeCell ref="B23:I23"/>
    <mergeCell ref="B24:I24"/>
    <mergeCell ref="B25:I25"/>
    <mergeCell ref="A26:S26"/>
    <mergeCell ref="B27:I27"/>
    <mergeCell ref="B28:I28"/>
    <mergeCell ref="B29:I29"/>
    <mergeCell ref="B30:I30"/>
    <mergeCell ref="B31:I31"/>
    <mergeCell ref="B41:I41"/>
    <mergeCell ref="B32:I32"/>
    <mergeCell ref="B33:I33"/>
    <mergeCell ref="B34:I34"/>
    <mergeCell ref="B35:I35"/>
    <mergeCell ref="B36:I36"/>
    <mergeCell ref="B63:E63"/>
    <mergeCell ref="I63:K63"/>
    <mergeCell ref="A47:S47"/>
    <mergeCell ref="B48:I48"/>
    <mergeCell ref="B49:I49"/>
    <mergeCell ref="B50:I50"/>
    <mergeCell ref="B51:I51"/>
    <mergeCell ref="B67:E67"/>
    <mergeCell ref="I67:K67"/>
    <mergeCell ref="A56:A57"/>
    <mergeCell ref="T18:T19"/>
    <mergeCell ref="T21:T25"/>
    <mergeCell ref="D56:U57"/>
    <mergeCell ref="B56:C57"/>
    <mergeCell ref="I64:L64"/>
    <mergeCell ref="B65:E65"/>
    <mergeCell ref="I65:L65"/>
    <mergeCell ref="B66:E66"/>
    <mergeCell ref="I66:L66"/>
    <mergeCell ref="B52:I52"/>
    <mergeCell ref="A53:S53"/>
    <mergeCell ref="B54:I54"/>
    <mergeCell ref="A55:S55"/>
    <mergeCell ref="U21:U25"/>
    <mergeCell ref="U27:U46"/>
    <mergeCell ref="U48:U52"/>
    <mergeCell ref="S1:V3"/>
    <mergeCell ref="A1:C3"/>
    <mergeCell ref="D1:J3"/>
    <mergeCell ref="K1:M3"/>
    <mergeCell ref="B42:I42"/>
    <mergeCell ref="B43:I43"/>
    <mergeCell ref="B44:I44"/>
    <mergeCell ref="B45:I45"/>
    <mergeCell ref="B46:I46"/>
    <mergeCell ref="B37:I37"/>
    <mergeCell ref="B38:I38"/>
    <mergeCell ref="B39:I39"/>
    <mergeCell ref="B40:I40"/>
  </mergeCells>
  <pageMargins left="0.31496062992126" right="0.31496062992126" top="0.55118110236220497" bottom="0.55118110236220497" header="0.31496062992126" footer="0.31496062992126"/>
  <pageSetup scale="4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5</vt:i4>
      </vt:variant>
    </vt:vector>
  </HeadingPairs>
  <TitlesOfParts>
    <vt:vector size="10" baseType="lpstr">
      <vt:lpstr>SEMANA 1</vt:lpstr>
      <vt:lpstr>SEMANA 2</vt:lpstr>
      <vt:lpstr>SEMANA 3</vt:lpstr>
      <vt:lpstr>SEMANA 4</vt:lpstr>
      <vt:lpstr>CONSOLIDADO MES</vt:lpstr>
      <vt:lpstr>'CONSOLIDADO MES'!Área_de_impresión</vt:lpstr>
      <vt:lpstr>'SEMANA 1'!Área_de_impresión</vt:lpstr>
      <vt:lpstr>'SEMANA 2'!Área_de_impresión</vt:lpstr>
      <vt:lpstr>'SEMANA 3'!Área_de_impresión</vt:lpstr>
      <vt:lpstr>'SEMANA 4'!Área_de_impresión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 FREDY</dc:creator>
  <cp:lastModifiedBy>LenovoAngie</cp:lastModifiedBy>
  <cp:lastPrinted>2025-11-13T13:33:00Z</cp:lastPrinted>
  <dcterms:created xsi:type="dcterms:W3CDTF">2015-08-03T14:32:00Z</dcterms:created>
  <dcterms:modified xsi:type="dcterms:W3CDTF">2026-01-31T15:25:37Z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A925603F0E894F4DBA444FD3E915B8C9_12</vt:lpwstr>
  </property>
  <property fmtid="{D5CDD505-2E9C-101B-9397-08002B2CF9AE}" pid="3" name="KSOProductBuildVer">
    <vt:lpwstr>3082-12.2.0.23196</vt:lpwstr>
  </property>
</Properties>
</file>